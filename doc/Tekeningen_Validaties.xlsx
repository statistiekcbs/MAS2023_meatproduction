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bsp.nl\Besturend\SER\SBM\SIB\Werk\Kladmappen\NBUN\Slachtingen\doc\"/>
    </mc:Choice>
  </mc:AlternateContent>
  <bookViews>
    <workbookView xWindow="0" yWindow="0" windowWidth="28800" windowHeight="14250" tabRatio="829" firstSheet="4" activeTab="10"/>
  </bookViews>
  <sheets>
    <sheet name="Probeersel" sheetId="10" r:id="rId1"/>
    <sheet name="ValideringBijschatting" sheetId="8" r:id="rId2"/>
    <sheet name="ValideringTijdreeks" sheetId="7" r:id="rId3"/>
    <sheet name="DiersoortBenamingenAfnemers" sheetId="11" r:id="rId4"/>
    <sheet name="DiersoortBenamingenBronnen" sheetId="6" r:id="rId5"/>
    <sheet name="IndicatorenAantallenverderlinge" sheetId="14" r:id="rId6"/>
    <sheet name="ValideringAantallenverdeling" sheetId="5" r:id="rId7"/>
    <sheet name="ValideringGemiddeldeGewichten" sheetId="4" r:id="rId8"/>
    <sheet name="ValideringAantallen" sheetId="3" r:id="rId9"/>
    <sheet name="VoorbeeldIndicatorO" sheetId="15" r:id="rId10"/>
    <sheet name="IndicatorenAantallen" sheetId="12" r:id="rId11"/>
    <sheet name="ValideringLeveringGlobaal" sheetId="2" r:id="rId12"/>
  </sheets>
  <definedNames>
    <definedName name="_xlnm._FilterDatabase" localSheetId="5" hidden="1">ValideringGemiddeldeGewichten!#REF!</definedName>
    <definedName name="_xlnm._FilterDatabase" localSheetId="8" hidden="1">ValideringAantallen!$B$3:$N$15</definedName>
    <definedName name="_xlnm._FilterDatabase" localSheetId="6" hidden="1">ValideringGemiddeldeGewichten!#REF!</definedName>
    <definedName name="_xlnm._FilterDatabase" localSheetId="1" hidden="1">ValideringBijschatting!#REF!</definedName>
    <definedName name="_xlnm._FilterDatabase" localSheetId="7" hidden="1">ValideringGemiddeldeGewichten!#REF!</definedName>
    <definedName name="_xlnm._FilterDatabase" localSheetId="2" hidden="1">ValideringTijdreeks!#REF!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7" i="15" l="1"/>
  <c r="W7" i="15"/>
  <c r="U7" i="15"/>
  <c r="X39" i="15"/>
  <c r="X38" i="15"/>
  <c r="X37" i="15"/>
  <c r="X36" i="15"/>
  <c r="X35" i="15"/>
  <c r="X34" i="15"/>
  <c r="X33" i="15"/>
  <c r="W39" i="15"/>
  <c r="W38" i="15"/>
  <c r="W37" i="15"/>
  <c r="W36" i="15"/>
  <c r="W35" i="15"/>
  <c r="W34" i="15"/>
  <c r="W33" i="15"/>
  <c r="U39" i="15"/>
  <c r="U38" i="15"/>
  <c r="U37" i="15"/>
  <c r="U36" i="15"/>
  <c r="U35" i="15"/>
  <c r="U34" i="15"/>
  <c r="U33" i="15"/>
  <c r="S40" i="15"/>
  <c r="O40" i="15"/>
  <c r="N40" i="15"/>
  <c r="M40" i="15"/>
  <c r="L40" i="15"/>
  <c r="K40" i="15"/>
  <c r="J40" i="15"/>
  <c r="I40" i="15"/>
  <c r="H40" i="15"/>
  <c r="G40" i="15"/>
  <c r="F40" i="15"/>
  <c r="E40" i="15"/>
  <c r="V39" i="15" s="1"/>
  <c r="Z39" i="15" s="1"/>
  <c r="D40" i="15"/>
  <c r="Y36" i="15"/>
  <c r="X26" i="15"/>
  <c r="X25" i="15"/>
  <c r="X24" i="15"/>
  <c r="X23" i="15"/>
  <c r="X22" i="15"/>
  <c r="X21" i="15"/>
  <c r="X20" i="15"/>
  <c r="W26" i="15"/>
  <c r="Y26" i="15" s="1"/>
  <c r="W25" i="15"/>
  <c r="W24" i="15"/>
  <c r="Y24" i="15" s="1"/>
  <c r="W23" i="15"/>
  <c r="W22" i="15"/>
  <c r="Y22" i="15" s="1"/>
  <c r="W21" i="15"/>
  <c r="W20" i="15"/>
  <c r="Y20" i="15" s="1"/>
  <c r="U26" i="15"/>
  <c r="U25" i="15"/>
  <c r="U24" i="15"/>
  <c r="U23" i="15"/>
  <c r="U22" i="15"/>
  <c r="U21" i="15"/>
  <c r="U20" i="15"/>
  <c r="S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V26" i="15" s="1"/>
  <c r="X13" i="15"/>
  <c r="X12" i="15"/>
  <c r="X11" i="15"/>
  <c r="X10" i="15"/>
  <c r="X9" i="15"/>
  <c r="X8" i="15"/>
  <c r="W13" i="15"/>
  <c r="W12" i="15"/>
  <c r="W11" i="15"/>
  <c r="W10" i="15"/>
  <c r="W9" i="15"/>
  <c r="W8" i="15"/>
  <c r="U13" i="15"/>
  <c r="Y13" i="15" s="1"/>
  <c r="U12" i="15"/>
  <c r="Y12" i="15" s="1"/>
  <c r="U11" i="15"/>
  <c r="Y11" i="15" s="1"/>
  <c r="U10" i="15"/>
  <c r="Y10" i="15" s="1"/>
  <c r="U9" i="15"/>
  <c r="Y9" i="15" s="1"/>
  <c r="U8" i="15"/>
  <c r="Y8" i="15" s="1"/>
  <c r="S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V12" i="15" l="1"/>
  <c r="Z12" i="15" s="1"/>
  <c r="V25" i="15"/>
  <c r="Z25" i="15" s="1"/>
  <c r="Y7" i="15"/>
  <c r="V9" i="15"/>
  <c r="Z9" i="15" s="1"/>
  <c r="V11" i="15"/>
  <c r="Z11" i="15" s="1"/>
  <c r="V13" i="15"/>
  <c r="Z13" i="15" s="1"/>
  <c r="V21" i="15"/>
  <c r="Z21" i="15" s="1"/>
  <c r="V23" i="15"/>
  <c r="Z23" i="15" s="1"/>
  <c r="V7" i="15"/>
  <c r="Z7" i="15" s="1"/>
  <c r="V8" i="15"/>
  <c r="Z8" i="15" s="1"/>
  <c r="V10" i="15"/>
  <c r="Z10" i="15" s="1"/>
  <c r="V20" i="15"/>
  <c r="V22" i="15"/>
  <c r="V24" i="15"/>
  <c r="Y21" i="15"/>
  <c r="Y23" i="15"/>
  <c r="Y25" i="15"/>
  <c r="Z20" i="15"/>
  <c r="Z22" i="15"/>
  <c r="Z24" i="15"/>
  <c r="Z26" i="15"/>
  <c r="Y34" i="15"/>
  <c r="Y38" i="15"/>
  <c r="Y33" i="15"/>
  <c r="Y35" i="15"/>
  <c r="Y37" i="15"/>
  <c r="Y39" i="15"/>
  <c r="V34" i="15"/>
  <c r="Z34" i="15" s="1"/>
  <c r="V36" i="15"/>
  <c r="Z36" i="15" s="1"/>
  <c r="V38" i="15"/>
  <c r="Z38" i="15" s="1"/>
  <c r="V33" i="15"/>
  <c r="Z33" i="15" s="1"/>
  <c r="V35" i="15"/>
  <c r="Z35" i="15" s="1"/>
  <c r="V37" i="15"/>
  <c r="Z37" i="15" s="1"/>
  <c r="N4" i="8"/>
  <c r="H30" i="14" l="1"/>
  <c r="H17" i="14"/>
  <c r="H16" i="14"/>
  <c r="E16" i="14"/>
  <c r="O22" i="4" l="1"/>
  <c r="O19" i="4"/>
  <c r="O18" i="4"/>
  <c r="O12" i="4"/>
  <c r="O13" i="4"/>
  <c r="O14" i="4"/>
  <c r="O15" i="4"/>
  <c r="O16" i="4"/>
  <c r="O17" i="4"/>
  <c r="O23" i="4"/>
  <c r="O21" i="4"/>
  <c r="O20" i="4"/>
</calcChain>
</file>

<file path=xl/sharedStrings.xml><?xml version="1.0" encoding="utf-8"?>
<sst xmlns="http://schemas.openxmlformats.org/spreadsheetml/2006/main" count="918" uniqueCount="266">
  <si>
    <t>Eenhoevig dier</t>
  </si>
  <si>
    <t>Geit</t>
  </si>
  <si>
    <t>Kalf</t>
  </si>
  <si>
    <t>Rund</t>
  </si>
  <si>
    <t>Schaap jonger dan 1 jaar</t>
  </si>
  <si>
    <t>Schaap ouder dan 1 jaar</t>
  </si>
  <si>
    <t>Varken</t>
  </si>
  <si>
    <t>Slachtbedrijf</t>
  </si>
  <si>
    <t>Diersoort</t>
  </si>
  <si>
    <t>201708</t>
  </si>
  <si>
    <t>201709</t>
  </si>
  <si>
    <t>201710</t>
  </si>
  <si>
    <t>201711</t>
  </si>
  <si>
    <t>Indicatoren</t>
  </si>
  <si>
    <t>Huidige levering</t>
  </si>
  <si>
    <t>Vorige levering</t>
  </si>
  <si>
    <t>Werkplek</t>
  </si>
  <si>
    <t>0101450</t>
  </si>
  <si>
    <t>ZINKSKE 'T</t>
  </si>
  <si>
    <t>1573206</t>
  </si>
  <si>
    <t>BASELMANS P.</t>
  </si>
  <si>
    <t>1601006</t>
  </si>
  <si>
    <t>KLUIFJE; SLAGERIJ 'T</t>
  </si>
  <si>
    <t>nieuw slachtbedrijf</t>
  </si>
  <si>
    <t>slachtbedrijf stopt</t>
  </si>
  <si>
    <t>slachtbedrijf stopt met runderen</t>
  </si>
  <si>
    <t>ALDERSHOF FA.</t>
  </si>
  <si>
    <t xml:space="preserve">Stieren </t>
  </si>
  <si>
    <t xml:space="preserve">Koeien </t>
  </si>
  <si>
    <t>Vaarzen</t>
  </si>
  <si>
    <t>Kalf &lt; 8 mnd</t>
  </si>
  <si>
    <t>Kalf 8 tm 12 mnd</t>
  </si>
  <si>
    <t>Som != 100%</t>
  </si>
  <si>
    <t>Vleeskuikens</t>
  </si>
  <si>
    <t>OverigeKippen</t>
  </si>
  <si>
    <t>Eenden</t>
  </si>
  <si>
    <t>Geiten</t>
  </si>
  <si>
    <t>Eenhoevigen</t>
  </si>
  <si>
    <t>Gewicht</t>
  </si>
  <si>
    <t>Kippen</t>
  </si>
  <si>
    <t>OverigPluimvee</t>
  </si>
  <si>
    <t>Varkens</t>
  </si>
  <si>
    <t>Aantallen</t>
  </si>
  <si>
    <t>Aantallenverdeling</t>
  </si>
  <si>
    <t>Gemiddelde slachtgewichten</t>
  </si>
  <si>
    <t>Kalveren onder 8-12 mnd</t>
  </si>
  <si>
    <t>Lammeren</t>
  </si>
  <si>
    <t>Schapen</t>
  </si>
  <si>
    <t>nvt</t>
  </si>
  <si>
    <t>Roodvlees</t>
  </si>
  <si>
    <t>Witvlees</t>
  </si>
  <si>
    <t>NVWA</t>
  </si>
  <si>
    <t>Koeien</t>
  </si>
  <si>
    <t>Stieren</t>
  </si>
  <si>
    <t>Kalveren 0-8 mnd</t>
  </si>
  <si>
    <t>Kalf 8-12 mnd</t>
  </si>
  <si>
    <t>Bron is:</t>
  </si>
  <si>
    <t>RVO</t>
  </si>
  <si>
    <t>SBK</t>
  </si>
  <si>
    <t>Duiven*</t>
  </si>
  <si>
    <t>Kalkoenen*</t>
  </si>
  <si>
    <t>Struisvogels*</t>
  </si>
  <si>
    <t>Parelhoenders*</t>
  </si>
  <si>
    <t>Aantal</t>
  </si>
  <si>
    <t>Verschil</t>
  </si>
  <si>
    <t>Overige kippen</t>
  </si>
  <si>
    <t>Overig pluimvee</t>
  </si>
  <si>
    <t>Vorige verwerkingsmaand</t>
  </si>
  <si>
    <t>Huidige verwerkingsmaand</t>
  </si>
  <si>
    <t>CBS, constante</t>
  </si>
  <si>
    <t>* aantal wordt op 0 gezet voor berekening van de totaalgewichten!</t>
  </si>
  <si>
    <t>ontbreekt</t>
  </si>
  <si>
    <t>nieuw</t>
  </si>
  <si>
    <t>afwijkend</t>
  </si>
  <si>
    <t>Eurostat: kalkoenen apart, vleeskuikens zitten bij de kippen in?</t>
  </si>
  <si>
    <t>Statline: kalkoenen apart, maar 0 voor aantal en gewicht</t>
  </si>
  <si>
    <r>
      <t xml:space="preserve">en voor output </t>
    </r>
    <r>
      <rPr>
        <b/>
        <sz val="11"/>
        <color theme="1"/>
        <rFont val="Calibri"/>
        <family val="2"/>
        <scheme val="minor"/>
      </rPr>
      <t xml:space="preserve">contactpersonen </t>
    </r>
    <r>
      <rPr>
        <sz val="11"/>
        <color theme="1"/>
        <rFont val="Calibri"/>
        <family val="2"/>
        <scheme val="minor"/>
      </rPr>
      <t>zijn alleen de totaalgewichten van kalkoenen 0, voor overigpluimvee wel een gewicht</t>
    </r>
  </si>
  <si>
    <t>* gemiddeld slachtgewicht wordt op 1,40 kg gezet --&gt; waarom?, zie gewichten2.xlsx</t>
  </si>
  <si>
    <r>
      <t xml:space="preserve">* voor output </t>
    </r>
    <r>
      <rPr>
        <b/>
        <sz val="11"/>
        <color theme="1"/>
        <rFont val="Calibri"/>
        <family val="2"/>
        <scheme val="minor"/>
      </rPr>
      <t xml:space="preserve">contactpersonen </t>
    </r>
    <r>
      <rPr>
        <sz val="11"/>
        <color theme="1"/>
        <rFont val="Calibri"/>
        <family val="2"/>
        <scheme val="minor"/>
      </rPr>
      <t>zijn de aantallen weer geen 0</t>
    </r>
  </si>
  <si>
    <t>* zitten kalkoenen niet in overigpluimvee?</t>
  </si>
  <si>
    <t>X</t>
  </si>
  <si>
    <t>doorgaande slachtpraktijk 
met afwijkingen</t>
  </si>
  <si>
    <t>VAN KAMPEN SLAGERIJ</t>
  </si>
  <si>
    <t>geen bijzonderheden</t>
  </si>
  <si>
    <t>januari</t>
  </si>
  <si>
    <t>februari</t>
  </si>
  <si>
    <t>maart</t>
  </si>
  <si>
    <t>april</t>
  </si>
  <si>
    <t>mei</t>
  </si>
  <si>
    <t>juni</t>
  </si>
  <si>
    <t>juli</t>
  </si>
  <si>
    <t>augustus</t>
  </si>
  <si>
    <t>september</t>
  </si>
  <si>
    <t>oktober</t>
  </si>
  <si>
    <t>november</t>
  </si>
  <si>
    <t>december</t>
  </si>
  <si>
    <t>Runderen</t>
  </si>
  <si>
    <t>Kalveren</t>
  </si>
  <si>
    <t>Jaar</t>
  </si>
  <si>
    <t>Duiven</t>
  </si>
  <si>
    <t>Kalkoenen</t>
  </si>
  <si>
    <t>Struisvogels</t>
  </si>
  <si>
    <t>Parelhoenders</t>
  </si>
  <si>
    <t>Categorie</t>
  </si>
  <si>
    <t>Bij DSC-output ligt de grens voor kalveren bij 9 maanden</t>
  </si>
  <si>
    <t>Bij input ligt de grens voor kalveren bij 8 maanden</t>
  </si>
  <si>
    <t>Ossen</t>
  </si>
  <si>
    <t>Kalveren 8-12 mnd</t>
  </si>
  <si>
    <t>Volwassen schapen</t>
  </si>
  <si>
    <t>Eenhoevige dieren</t>
  </si>
  <si>
    <t>Nederlands</t>
  </si>
  <si>
    <t>Bovine animals</t>
  </si>
  <si>
    <t>Adult cattle</t>
  </si>
  <si>
    <t>Bullocks</t>
  </si>
  <si>
    <t>Bulls</t>
  </si>
  <si>
    <t>Cows</t>
  </si>
  <si>
    <t>Heifers</t>
  </si>
  <si>
    <t>Young cattle</t>
  </si>
  <si>
    <t>Sheep total</t>
  </si>
  <si>
    <t>Goats</t>
  </si>
  <si>
    <t>Pigs</t>
  </si>
  <si>
    <t>Turkeys</t>
  </si>
  <si>
    <t>Ducks</t>
  </si>
  <si>
    <t>Chickens</t>
  </si>
  <si>
    <t>Other poultry</t>
  </si>
  <si>
    <t>.</t>
  </si>
  <si>
    <t>Sheep lambs</t>
  </si>
  <si>
    <t>Aggregaten</t>
  </si>
  <si>
    <t>Calves</t>
  </si>
  <si>
    <t>Total Poultry</t>
  </si>
  <si>
    <t>Eurostat</t>
  </si>
  <si>
    <t>Statline</t>
  </si>
  <si>
    <t>runderen</t>
  </si>
  <si>
    <t>stieren</t>
  </si>
  <si>
    <t>Bullocks and</t>
  </si>
  <si>
    <t>bulls</t>
  </si>
  <si>
    <t xml:space="preserve">Ossen en </t>
  </si>
  <si>
    <t>koeien</t>
  </si>
  <si>
    <t>vaarzen</t>
  </si>
  <si>
    <t xml:space="preserve">Volwassen </t>
  </si>
  <si>
    <t>Overig</t>
  </si>
  <si>
    <t>pluimvee</t>
  </si>
  <si>
    <t>DSC</t>
  </si>
  <si>
    <t>Contactpersonen</t>
  </si>
  <si>
    <t>Adult</t>
  </si>
  <si>
    <t>Other</t>
  </si>
  <si>
    <t>Total</t>
  </si>
  <si>
    <t>VolwRund</t>
  </si>
  <si>
    <t>stierenossen</t>
  </si>
  <si>
    <t>kalf.tot.8.mnd</t>
  </si>
  <si>
    <t>kalf.8.tot.12.mnd</t>
  </si>
  <si>
    <t>Schaap_jonger_dan_1_jaar</t>
  </si>
  <si>
    <t>Eenhoevig_dier</t>
  </si>
  <si>
    <t>OvPluimvee</t>
  </si>
  <si>
    <t>voor gewicht: TotGewSchapen.jong</t>
  </si>
  <si>
    <t>Pluimvee</t>
  </si>
  <si>
    <t>YoungCattle</t>
  </si>
  <si>
    <t>BullocksAnd</t>
  </si>
  <si>
    <t>Cattle</t>
  </si>
  <si>
    <t>Sheep.total</t>
  </si>
  <si>
    <t>Sheep.lambs</t>
  </si>
  <si>
    <t>Poultry</t>
  </si>
  <si>
    <t>BovineAnimals</t>
  </si>
  <si>
    <t>Eurostat: Bovine animals.1000heads</t>
  </si>
  <si>
    <t>Eurostat: Bovineanimals.1000tons</t>
  </si>
  <si>
    <t>01</t>
  </si>
  <si>
    <t>02</t>
  </si>
  <si>
    <t>03</t>
  </si>
  <si>
    <t>04</t>
  </si>
  <si>
    <t>05</t>
  </si>
  <si>
    <t>07</t>
  </si>
  <si>
    <t>08</t>
  </si>
  <si>
    <t>09</t>
  </si>
  <si>
    <t>10</t>
  </si>
  <si>
    <t>06</t>
  </si>
  <si>
    <t>11</t>
  </si>
  <si>
    <t>12</t>
  </si>
  <si>
    <t>13</t>
  </si>
  <si>
    <t>15</t>
  </si>
  <si>
    <t>16</t>
  </si>
  <si>
    <t>17</t>
  </si>
  <si>
    <t>18</t>
  </si>
  <si>
    <t>19</t>
  </si>
  <si>
    <t>Statline - 1000, 1000kg</t>
  </si>
  <si>
    <t>Totaal runderen</t>
  </si>
  <si>
    <t>tot volwassen r</t>
  </si>
  <si>
    <t xml:space="preserve">koe            </t>
  </si>
  <si>
    <t xml:space="preserve">vaars          </t>
  </si>
  <si>
    <t xml:space="preserve">stier          </t>
  </si>
  <si>
    <t>kalveren jonger</t>
  </si>
  <si>
    <t xml:space="preserve">kalveren van 9 </t>
  </si>
  <si>
    <t xml:space="preserve">tot kalveren   </t>
  </si>
  <si>
    <t>tot kalveren</t>
  </si>
  <si>
    <t xml:space="preserve">varkens        </t>
  </si>
  <si>
    <t>schapen incl la</t>
  </si>
  <si>
    <t>schapenlammeren</t>
  </si>
  <si>
    <t>geiten (incl la</t>
  </si>
  <si>
    <t xml:space="preserve">eenhoevigen    </t>
  </si>
  <si>
    <t xml:space="preserve">vleeskuikens   </t>
  </si>
  <si>
    <t xml:space="preserve">overige kippen </t>
  </si>
  <si>
    <t xml:space="preserve">kalkoenen      </t>
  </si>
  <si>
    <t xml:space="preserve">eenden         </t>
  </si>
  <si>
    <t>overig pluimvee</t>
  </si>
  <si>
    <t>tot volwassen runderen</t>
  </si>
  <si>
    <t>koe</t>
  </si>
  <si>
    <t>vaars</t>
  </si>
  <si>
    <t>stier</t>
  </si>
  <si>
    <t>kalveren jonger dan 9 mndn</t>
  </si>
  <si>
    <t>kalveren van 9 tot en met 12 mndn</t>
  </si>
  <si>
    <t>varkens</t>
  </si>
  <si>
    <t>schapen incl lammeren</t>
  </si>
  <si>
    <t>geiten (incl lam)</t>
  </si>
  <si>
    <t>eenhoevigen</t>
  </si>
  <si>
    <t>vleeskuikens</t>
  </si>
  <si>
    <t>overige kippen</t>
  </si>
  <si>
    <t>kalkoenen</t>
  </si>
  <si>
    <t>eenden</t>
  </si>
  <si>
    <t>Bij DSC/statline-output ligt de grens voor kalveren bij 9 maanden</t>
  </si>
  <si>
    <t>in excel Statline</t>
  </si>
  <si>
    <t>Diersoortclassificatie</t>
  </si>
  <si>
    <t>* klopt het dat deze officieel onder overig pluimvee vallen?</t>
  </si>
  <si>
    <t>Fazanten</t>
  </si>
  <si>
    <t>Patrijzen</t>
  </si>
  <si>
    <r>
      <t xml:space="preserve">voor output </t>
    </r>
    <r>
      <rPr>
        <b/>
        <sz val="11"/>
        <color theme="1"/>
        <rFont val="Calibri"/>
        <family val="2"/>
        <scheme val="minor"/>
      </rPr>
      <t xml:space="preserve">contactpersonen </t>
    </r>
    <r>
      <rPr>
        <sz val="11"/>
        <color theme="1"/>
        <rFont val="Calibri"/>
        <family val="2"/>
        <scheme val="minor"/>
      </rPr>
      <t>zijn alleen de totaalgewichten van kalkoenen 0, voor overigpluimvee wel een gewicht</t>
    </r>
  </si>
  <si>
    <t>diersoort</t>
  </si>
  <si>
    <t>diersoortcategorie</t>
  </si>
  <si>
    <t>Ganzen</t>
  </si>
  <si>
    <t>Volwassen runderen</t>
  </si>
  <si>
    <t>diersoortaggregaten</t>
  </si>
  <si>
    <t>K</t>
  </si>
  <si>
    <t>O</t>
  </si>
  <si>
    <t>N</t>
  </si>
  <si>
    <t>S</t>
  </si>
  <si>
    <t>Ondergrens</t>
  </si>
  <si>
    <t>Bovengrens</t>
  </si>
  <si>
    <t>Totaal</t>
  </si>
  <si>
    <t>Schaap</t>
  </si>
  <si>
    <t>DE BEER SLAGERIJ</t>
  </si>
  <si>
    <t>DE BOER SLAGERIJ</t>
  </si>
  <si>
    <t>Slachtbedrijf De Hakbijl</t>
  </si>
  <si>
    <t>20 diersoortcategorieën</t>
  </si>
  <si>
    <t>20*5 = 100</t>
  </si>
  <si>
    <t>Gemiddelde</t>
  </si>
  <si>
    <t>ABATTOIR NOORD-HOLLAND</t>
  </si>
  <si>
    <t>1646092</t>
  </si>
  <si>
    <t>huidige verwerkingsmaand</t>
  </si>
  <si>
    <t>201712</t>
  </si>
  <si>
    <t>201801</t>
  </si>
  <si>
    <t>201802</t>
  </si>
  <si>
    <t>definitieve cijfers</t>
  </si>
  <si>
    <t>Totaal aantal dieren</t>
  </si>
  <si>
    <t>Huidige berekening</t>
  </si>
  <si>
    <r>
      <rPr>
        <b/>
        <sz val="11"/>
        <color theme="1"/>
        <rFont val="Calibri"/>
        <family val="2"/>
        <scheme val="minor"/>
      </rPr>
      <t>(gemiddeld</t>
    </r>
    <r>
      <rPr>
        <sz val="11"/>
        <color theme="1"/>
        <rFont val="Calibri"/>
        <family val="2"/>
        <scheme val="minor"/>
      </rPr>
      <t xml:space="preserve"> aantal huidige verwerkingsmaand - </t>
    </r>
    <r>
      <rPr>
        <b/>
        <sz val="11"/>
        <color theme="1"/>
        <rFont val="Calibri"/>
        <family val="2"/>
        <scheme val="minor"/>
      </rPr>
      <t>gemiddelde</t>
    </r>
    <r>
      <rPr>
        <sz val="11"/>
        <color theme="1"/>
        <rFont val="Calibri"/>
        <family val="2"/>
        <scheme val="minor"/>
      </rPr>
      <t xml:space="preserve"> definitieve aantallen)/</t>
    </r>
    <r>
      <rPr>
        <b/>
        <sz val="11"/>
        <color theme="1"/>
        <rFont val="Calibri"/>
        <family val="2"/>
        <scheme val="minor"/>
      </rPr>
      <t>gemiddelde</t>
    </r>
    <r>
      <rPr>
        <sz val="11"/>
        <color theme="1"/>
        <rFont val="Calibri"/>
        <family val="2"/>
        <scheme val="minor"/>
      </rPr>
      <t xml:space="preserve"> definitieve aantallen</t>
    </r>
  </si>
  <si>
    <r>
      <rPr>
        <b/>
        <sz val="11"/>
        <color theme="1"/>
        <rFont val="Calibri"/>
        <family val="2"/>
        <scheme val="minor"/>
      </rPr>
      <t>(totaal</t>
    </r>
    <r>
      <rPr>
        <sz val="11"/>
        <color theme="1"/>
        <rFont val="Calibri"/>
        <family val="2"/>
        <scheme val="minor"/>
      </rPr>
      <t xml:space="preserve"> aantal huidige verwerkingsmaand-</t>
    </r>
    <r>
      <rPr>
        <b/>
        <sz val="11"/>
        <color theme="1"/>
        <rFont val="Calibri"/>
        <family val="2"/>
        <scheme val="minor"/>
      </rPr>
      <t>gemiddelde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totaal</t>
    </r>
    <r>
      <rPr>
        <sz val="11"/>
        <color theme="1"/>
        <rFont val="Calibri"/>
        <family val="2"/>
        <scheme val="minor"/>
      </rPr>
      <t xml:space="preserve"> definitieve aantallen)/</t>
    </r>
    <r>
      <rPr>
        <b/>
        <sz val="11"/>
        <color theme="1"/>
        <rFont val="Calibri"/>
        <family val="2"/>
        <scheme val="minor"/>
      </rPr>
      <t>gemiddelde totaal</t>
    </r>
    <r>
      <rPr>
        <sz val="11"/>
        <color theme="1"/>
        <rFont val="Calibri"/>
        <family val="2"/>
        <scheme val="minor"/>
      </rPr>
      <t xml:space="preserve"> definitieve aantallen</t>
    </r>
  </si>
  <si>
    <t>Nr</t>
  </si>
  <si>
    <t>Slachtbedrijf Naam</t>
  </si>
  <si>
    <t>gemiddelde definitieve aantallen</t>
  </si>
  <si>
    <t>gemiddelde totaal aantallen</t>
  </si>
  <si>
    <t>gemiddeld aantal hvwmd</t>
  </si>
  <si>
    <t>totaal aantal hvwmd</t>
  </si>
  <si>
    <t>huidige berekening</t>
  </si>
  <si>
    <t>bedoelde berekening</t>
  </si>
  <si>
    <t xml:space="preserve"> t Kluifje</t>
  </si>
  <si>
    <t>' t Kluifje</t>
  </si>
  <si>
    <t>De hakbijl</t>
  </si>
  <si>
    <t>Bedoelde berekening?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</si>
</sst>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0.0"/>
    <numFmt numFmtId="165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FAD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7" fillId="0" borderId="0" applyNumberFormat="0" applyFill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366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2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6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2" xfId="0" applyFill="1" applyBorder="1"/>
    <xf numFmtId="0" fontId="0" fillId="4" borderId="5" xfId="0" applyFill="1" applyBorder="1"/>
    <xf numFmtId="0" fontId="0" fillId="4" borderId="7" xfId="0" applyFill="1" applyBorder="1"/>
    <xf numFmtId="0" fontId="2" fillId="4" borderId="6" xfId="0" applyFont="1" applyFill="1" applyBorder="1"/>
    <xf numFmtId="0" fontId="2" fillId="4" borderId="0" xfId="0" applyFont="1" applyFill="1" applyBorder="1"/>
    <xf numFmtId="0" fontId="1" fillId="4" borderId="10" xfId="0" applyFont="1" applyFill="1" applyBorder="1"/>
    <xf numFmtId="0" fontId="1" fillId="4" borderId="11" xfId="0" applyFont="1" applyFill="1" applyBorder="1"/>
    <xf numFmtId="0" fontId="1" fillId="4" borderId="12" xfId="0" applyFont="1" applyFill="1" applyBorder="1"/>
    <xf numFmtId="0" fontId="0" fillId="4" borderId="0" xfId="0" applyFill="1"/>
    <xf numFmtId="0" fontId="1" fillId="4" borderId="0" xfId="0" applyFont="1" applyFill="1" applyBorder="1"/>
    <xf numFmtId="0" fontId="1" fillId="4" borderId="11" xfId="0" applyFont="1" applyFill="1" applyBorder="1" applyAlignment="1">
      <alignment horizontal="center" wrapText="1"/>
    </xf>
    <xf numFmtId="0" fontId="1" fillId="4" borderId="12" xfId="0" applyFont="1" applyFill="1" applyBorder="1" applyAlignment="1">
      <alignment horizontal="center" wrapText="1"/>
    </xf>
    <xf numFmtId="0" fontId="1" fillId="4" borderId="0" xfId="0" applyFont="1" applyFill="1" applyBorder="1" applyAlignment="1">
      <alignment wrapText="1"/>
    </xf>
    <xf numFmtId="0" fontId="4" fillId="4" borderId="3" xfId="0" applyFont="1" applyFill="1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5" borderId="0" xfId="0" applyFill="1" applyBorder="1"/>
    <xf numFmtId="0" fontId="0" fillId="6" borderId="0" xfId="0" applyFill="1" applyBorder="1"/>
    <xf numFmtId="0" fontId="0" fillId="3" borderId="0" xfId="0" applyFill="1" applyBorder="1" applyAlignment="1">
      <alignment horizontal="left"/>
    </xf>
    <xf numFmtId="0" fontId="0" fillId="7" borderId="0" xfId="0" applyFill="1" applyBorder="1" applyAlignment="1">
      <alignment horizontal="left"/>
    </xf>
    <xf numFmtId="0" fontId="1" fillId="4" borderId="2" xfId="0" applyFont="1" applyFill="1" applyBorder="1"/>
    <xf numFmtId="0" fontId="1" fillId="4" borderId="3" xfId="0" applyFont="1" applyFill="1" applyBorder="1"/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0" fillId="4" borderId="2" xfId="0" applyFont="1" applyFill="1" applyBorder="1"/>
    <xf numFmtId="0" fontId="0" fillId="4" borderId="3" xfId="0" applyFont="1" applyFill="1" applyBorder="1"/>
    <xf numFmtId="0" fontId="0" fillId="4" borderId="2" xfId="0" applyFont="1" applyFill="1" applyBorder="1" applyAlignment="1">
      <alignment horizontal="center" wrapText="1"/>
    </xf>
    <xf numFmtId="0" fontId="0" fillId="4" borderId="3" xfId="0" applyFont="1" applyFill="1" applyBorder="1" applyAlignment="1">
      <alignment horizontal="center" wrapText="1"/>
    </xf>
    <xf numFmtId="0" fontId="0" fillId="4" borderId="5" xfId="0" applyFont="1" applyFill="1" applyBorder="1"/>
    <xf numFmtId="0" fontId="0" fillId="4" borderId="0" xfId="0" applyFont="1" applyFill="1" applyBorder="1"/>
    <xf numFmtId="0" fontId="0" fillId="4" borderId="5" xfId="0" applyFont="1" applyFill="1" applyBorder="1" applyAlignment="1">
      <alignment horizontal="center" wrapText="1"/>
    </xf>
    <xf numFmtId="0" fontId="0" fillId="4" borderId="0" xfId="0" applyFont="1" applyFill="1" applyBorder="1" applyAlignment="1">
      <alignment horizontal="center" wrapText="1"/>
    </xf>
    <xf numFmtId="0" fontId="0" fillId="4" borderId="7" xfId="0" applyFont="1" applyFill="1" applyBorder="1"/>
    <xf numFmtId="0" fontId="0" fillId="4" borderId="8" xfId="0" applyFont="1" applyFill="1" applyBorder="1"/>
    <xf numFmtId="0" fontId="0" fillId="4" borderId="7" xfId="0" applyFont="1" applyFill="1" applyBorder="1" applyAlignment="1">
      <alignment horizontal="center" wrapText="1"/>
    </xf>
    <xf numFmtId="0" fontId="0" fillId="4" borderId="8" xfId="0" applyFont="1" applyFill="1" applyBorder="1" applyAlignment="1">
      <alignment horizontal="center" wrapText="1"/>
    </xf>
    <xf numFmtId="0" fontId="0" fillId="2" borderId="5" xfId="0" applyFont="1" applyFill="1" applyBorder="1"/>
    <xf numFmtId="0" fontId="0" fillId="2" borderId="0" xfId="0" applyFont="1" applyFill="1" applyBorder="1"/>
    <xf numFmtId="0" fontId="0" fillId="4" borderId="5" xfId="0" applyFont="1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4" borderId="6" xfId="0" applyFont="1" applyFill="1" applyBorder="1" applyAlignment="1">
      <alignment horizontal="center"/>
    </xf>
    <xf numFmtId="0" fontId="0" fillId="2" borderId="2" xfId="0" applyFont="1" applyFill="1" applyBorder="1"/>
    <xf numFmtId="0" fontId="0" fillId="2" borderId="3" xfId="0" applyFont="1" applyFill="1" applyBorder="1"/>
    <xf numFmtId="0" fontId="0" fillId="4" borderId="2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2" borderId="7" xfId="0" applyFont="1" applyFill="1" applyBorder="1"/>
    <xf numFmtId="0" fontId="0" fillId="2" borderId="8" xfId="0" applyFont="1" applyFill="1" applyBorder="1"/>
    <xf numFmtId="0" fontId="0" fillId="4" borderId="7" xfId="0" applyFont="1" applyFill="1" applyBorder="1" applyAlignment="1">
      <alignment horizontal="center"/>
    </xf>
    <xf numFmtId="0" fontId="0" fillId="4" borderId="8" xfId="0" applyFont="1" applyFill="1" applyBorder="1" applyAlignment="1">
      <alignment horizontal="center"/>
    </xf>
    <xf numFmtId="0" fontId="0" fillId="4" borderId="9" xfId="0" applyFont="1" applyFill="1" applyBorder="1" applyAlignment="1">
      <alignment horizontal="center"/>
    </xf>
    <xf numFmtId="164" fontId="0" fillId="4" borderId="4" xfId="0" applyNumberFormat="1" applyFill="1" applyBorder="1"/>
    <xf numFmtId="164" fontId="0" fillId="4" borderId="6" xfId="0" applyNumberFormat="1" applyFill="1" applyBorder="1"/>
    <xf numFmtId="164" fontId="0" fillId="4" borderId="9" xfId="0" applyNumberFormat="1" applyFill="1" applyBorder="1"/>
    <xf numFmtId="164" fontId="0" fillId="4" borderId="3" xfId="0" applyNumberFormat="1" applyFont="1" applyFill="1" applyBorder="1" applyAlignment="1"/>
    <xf numFmtId="164" fontId="0" fillId="4" borderId="4" xfId="0" applyNumberFormat="1" applyFont="1" applyFill="1" applyBorder="1" applyAlignment="1"/>
    <xf numFmtId="164" fontId="0" fillId="4" borderId="0" xfId="0" applyNumberFormat="1" applyFont="1" applyFill="1" applyBorder="1" applyAlignment="1"/>
    <xf numFmtId="164" fontId="0" fillId="4" borderId="6" xfId="0" applyNumberFormat="1" applyFont="1" applyFill="1" applyBorder="1" applyAlignment="1"/>
    <xf numFmtId="0" fontId="0" fillId="4" borderId="6" xfId="0" applyFont="1" applyFill="1" applyBorder="1" applyAlignment="1"/>
    <xf numFmtId="164" fontId="0" fillId="4" borderId="8" xfId="0" applyNumberFormat="1" applyFont="1" applyFill="1" applyBorder="1" applyAlignment="1"/>
    <xf numFmtId="164" fontId="0" fillId="4" borderId="9" xfId="0" applyNumberFormat="1" applyFont="1" applyFill="1" applyBorder="1" applyAlignment="1"/>
    <xf numFmtId="0" fontId="0" fillId="4" borderId="4" xfId="0" applyFont="1" applyFill="1" applyBorder="1" applyAlignment="1"/>
    <xf numFmtId="0" fontId="1" fillId="4" borderId="10" xfId="0" applyFont="1" applyFill="1" applyBorder="1" applyAlignment="1"/>
    <xf numFmtId="164" fontId="8" fillId="4" borderId="11" xfId="1" applyNumberFormat="1" applyFont="1" applyFill="1" applyBorder="1" applyAlignment="1"/>
    <xf numFmtId="164" fontId="8" fillId="4" borderId="12" xfId="1" applyNumberFormat="1" applyFont="1" applyFill="1" applyBorder="1" applyAlignment="1"/>
    <xf numFmtId="0" fontId="0" fillId="4" borderId="2" xfId="0" applyFont="1" applyFill="1" applyBorder="1" applyAlignment="1"/>
    <xf numFmtId="0" fontId="0" fillId="4" borderId="5" xfId="0" applyFont="1" applyFill="1" applyBorder="1" applyAlignment="1"/>
    <xf numFmtId="0" fontId="0" fillId="4" borderId="6" xfId="0" applyFont="1" applyFill="1" applyBorder="1" applyAlignment="1">
      <alignment horizontal="right"/>
    </xf>
    <xf numFmtId="0" fontId="0" fillId="4" borderId="7" xfId="0" applyFont="1" applyFill="1" applyBorder="1" applyAlignment="1"/>
    <xf numFmtId="0" fontId="0" fillId="4" borderId="9" xfId="0" applyFont="1" applyFill="1" applyBorder="1" applyAlignment="1"/>
    <xf numFmtId="164" fontId="0" fillId="4" borderId="0" xfId="0" applyNumberFormat="1" applyFill="1" applyBorder="1"/>
    <xf numFmtId="164" fontId="0" fillId="4" borderId="8" xfId="0" applyNumberFormat="1" applyFill="1" applyBorder="1"/>
    <xf numFmtId="164" fontId="0" fillId="4" borderId="3" xfId="0" applyNumberFormat="1" applyFill="1" applyBorder="1"/>
    <xf numFmtId="164" fontId="0" fillId="4" borderId="2" xfId="0" applyNumberFormat="1" applyFont="1" applyFill="1" applyBorder="1" applyAlignment="1"/>
    <xf numFmtId="164" fontId="0" fillId="4" borderId="5" xfId="0" applyNumberFormat="1" applyFill="1" applyBorder="1"/>
    <xf numFmtId="164" fontId="0" fillId="4" borderId="7" xfId="0" applyNumberFormat="1" applyFill="1" applyBorder="1"/>
    <xf numFmtId="0" fontId="8" fillId="4" borderId="12" xfId="1" applyFont="1" applyFill="1" applyBorder="1" applyAlignment="1">
      <alignment horizontal="right" wrapText="1"/>
    </xf>
    <xf numFmtId="0" fontId="0" fillId="4" borderId="3" xfId="0" applyFont="1" applyFill="1" applyBorder="1" applyAlignment="1">
      <alignment horizontal="left"/>
    </xf>
    <xf numFmtId="0" fontId="0" fillId="4" borderId="0" xfId="0" applyFont="1" applyFill="1" applyBorder="1" applyAlignment="1">
      <alignment horizontal="left"/>
    </xf>
    <xf numFmtId="0" fontId="0" fillId="4" borderId="8" xfId="0" applyFont="1" applyFill="1" applyBorder="1" applyAlignment="1">
      <alignment horizontal="left"/>
    </xf>
    <xf numFmtId="0" fontId="0" fillId="4" borderId="0" xfId="0" applyFont="1" applyFill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5" xfId="0" applyFont="1" applyFill="1" applyBorder="1"/>
    <xf numFmtId="0" fontId="4" fillId="2" borderId="0" xfId="0" applyFont="1" applyFill="1" applyBorder="1"/>
    <xf numFmtId="0" fontId="4" fillId="4" borderId="0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4" borderId="8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0" fontId="8" fillId="2" borderId="4" xfId="0" applyFont="1" applyFill="1" applyBorder="1"/>
    <xf numFmtId="0" fontId="8" fillId="4" borderId="3" xfId="0" applyFont="1" applyFill="1" applyBorder="1"/>
    <xf numFmtId="0" fontId="8" fillId="2" borderId="10" xfId="0" applyFont="1" applyFill="1" applyBorder="1"/>
    <xf numFmtId="0" fontId="8" fillId="2" borderId="11" xfId="0" applyFont="1" applyFill="1" applyBorder="1"/>
    <xf numFmtId="0" fontId="8" fillId="2" borderId="12" xfId="0" applyFont="1" applyFill="1" applyBorder="1"/>
    <xf numFmtId="0" fontId="8" fillId="4" borderId="11" xfId="0" applyFont="1" applyFill="1" applyBorder="1"/>
    <xf numFmtId="164" fontId="0" fillId="4" borderId="5" xfId="0" applyNumberFormat="1" applyFont="1" applyFill="1" applyBorder="1" applyAlignment="1"/>
    <xf numFmtId="164" fontId="0" fillId="4" borderId="7" xfId="0" applyNumberFormat="1" applyFont="1" applyFill="1" applyBorder="1" applyAlignment="1"/>
    <xf numFmtId="0" fontId="0" fillId="2" borderId="4" xfId="0" applyFont="1" applyFill="1" applyBorder="1"/>
    <xf numFmtId="0" fontId="0" fillId="2" borderId="6" xfId="0" applyFont="1" applyFill="1" applyBorder="1"/>
    <xf numFmtId="0" fontId="0" fillId="2" borderId="9" xfId="0" applyFont="1" applyFill="1" applyBorder="1"/>
    <xf numFmtId="0" fontId="0" fillId="4" borderId="0" xfId="0" quotePrefix="1" applyFont="1" applyFill="1" applyBorder="1" applyAlignment="1">
      <alignment horizontal="right"/>
    </xf>
    <xf numFmtId="0" fontId="0" fillId="3" borderId="0" xfId="0" applyFont="1" applyFill="1" applyBorder="1"/>
    <xf numFmtId="0" fontId="1" fillId="3" borderId="4" xfId="0" applyFont="1" applyFill="1" applyBorder="1"/>
    <xf numFmtId="0" fontId="0" fillId="3" borderId="6" xfId="0" applyFont="1" applyFill="1" applyBorder="1"/>
    <xf numFmtId="1" fontId="0" fillId="2" borderId="2" xfId="0" applyNumberFormat="1" applyFont="1" applyFill="1" applyBorder="1"/>
    <xf numFmtId="1" fontId="0" fillId="2" borderId="3" xfId="0" applyNumberFormat="1" applyFont="1" applyFill="1" applyBorder="1"/>
    <xf numFmtId="1" fontId="0" fillId="2" borderId="4" xfId="0" applyNumberFormat="1" applyFont="1" applyFill="1" applyBorder="1"/>
    <xf numFmtId="1" fontId="0" fillId="2" borderId="5" xfId="0" applyNumberFormat="1" applyFont="1" applyFill="1" applyBorder="1"/>
    <xf numFmtId="1" fontId="0" fillId="2" borderId="0" xfId="0" applyNumberFormat="1" applyFont="1" applyFill="1" applyBorder="1"/>
    <xf numFmtId="1" fontId="0" fillId="2" borderId="6" xfId="0" applyNumberFormat="1" applyFont="1" applyFill="1" applyBorder="1"/>
    <xf numFmtId="1" fontId="0" fillId="2" borderId="7" xfId="0" applyNumberFormat="1" applyFont="1" applyFill="1" applyBorder="1"/>
    <xf numFmtId="1" fontId="0" fillId="2" borderId="8" xfId="0" applyNumberFormat="1" applyFont="1" applyFill="1" applyBorder="1"/>
    <xf numFmtId="1" fontId="0" fillId="2" borderId="9" xfId="0" applyNumberFormat="1" applyFont="1" applyFill="1" applyBorder="1"/>
    <xf numFmtId="0" fontId="0" fillId="3" borderId="3" xfId="0" applyFont="1" applyFill="1" applyBorder="1"/>
    <xf numFmtId="0" fontId="8" fillId="4" borderId="10" xfId="0" applyFont="1" applyFill="1" applyBorder="1"/>
    <xf numFmtId="0" fontId="1" fillId="3" borderId="12" xfId="0" applyFont="1" applyFill="1" applyBorder="1"/>
    <xf numFmtId="1" fontId="0" fillId="4" borderId="2" xfId="0" applyNumberFormat="1" applyFont="1" applyFill="1" applyBorder="1"/>
    <xf numFmtId="1" fontId="0" fillId="4" borderId="3" xfId="0" applyNumberFormat="1" applyFont="1" applyFill="1" applyBorder="1"/>
    <xf numFmtId="1" fontId="0" fillId="4" borderId="5" xfId="0" applyNumberFormat="1" applyFont="1" applyFill="1" applyBorder="1"/>
    <xf numFmtId="1" fontId="0" fillId="4" borderId="0" xfId="0" applyNumberFormat="1" applyFont="1" applyFill="1" applyBorder="1"/>
    <xf numFmtId="1" fontId="6" fillId="2" borderId="5" xfId="0" applyNumberFormat="1" applyFont="1" applyFill="1" applyBorder="1"/>
    <xf numFmtId="1" fontId="6" fillId="2" borderId="0" xfId="0" applyNumberFormat="1" applyFont="1" applyFill="1" applyBorder="1"/>
    <xf numFmtId="1" fontId="6" fillId="4" borderId="7" xfId="0" applyNumberFormat="1" applyFont="1" applyFill="1" applyBorder="1"/>
    <xf numFmtId="1" fontId="6" fillId="4" borderId="8" xfId="0" applyNumberFormat="1" applyFont="1" applyFill="1" applyBorder="1"/>
    <xf numFmtId="0" fontId="6" fillId="4" borderId="5" xfId="0" applyFont="1" applyFill="1" applyBorder="1"/>
    <xf numFmtId="0" fontId="6" fillId="4" borderId="0" xfId="0" applyFont="1" applyFill="1" applyBorder="1"/>
    <xf numFmtId="0" fontId="0" fillId="3" borderId="4" xfId="0" applyFont="1" applyFill="1" applyBorder="1"/>
    <xf numFmtId="0" fontId="6" fillId="3" borderId="6" xfId="0" applyFont="1" applyFill="1" applyBorder="1"/>
    <xf numFmtId="0" fontId="6" fillId="3" borderId="4" xfId="0" applyFont="1" applyFill="1" applyBorder="1"/>
    <xf numFmtId="0" fontId="6" fillId="3" borderId="9" xfId="0" applyFont="1" applyFill="1" applyBorder="1"/>
    <xf numFmtId="0" fontId="6" fillId="2" borderId="5" xfId="0" applyFont="1" applyFill="1" applyBorder="1"/>
    <xf numFmtId="0" fontId="6" fillId="2" borderId="0" xfId="0" applyFont="1" applyFill="1" applyBorder="1"/>
    <xf numFmtId="0" fontId="6" fillId="4" borderId="2" xfId="0" applyFont="1" applyFill="1" applyBorder="1"/>
    <xf numFmtId="0" fontId="6" fillId="4" borderId="3" xfId="0" applyFont="1" applyFill="1" applyBorder="1"/>
    <xf numFmtId="0" fontId="6" fillId="4" borderId="7" xfId="0" applyFont="1" applyFill="1" applyBorder="1"/>
    <xf numFmtId="0" fontId="6" fillId="4" borderId="8" xfId="0" applyFont="1" applyFill="1" applyBorder="1"/>
    <xf numFmtId="1" fontId="0" fillId="3" borderId="6" xfId="0" applyNumberFormat="1" applyFont="1" applyFill="1" applyBorder="1"/>
    <xf numFmtId="1" fontId="2" fillId="3" borderId="4" xfId="0" applyNumberFormat="1" applyFont="1" applyFill="1" applyBorder="1"/>
    <xf numFmtId="1" fontId="6" fillId="4" borderId="2" xfId="0" applyNumberFormat="1" applyFont="1" applyFill="1" applyBorder="1"/>
    <xf numFmtId="1" fontId="6" fillId="4" borderId="3" xfId="0" applyNumberFormat="1" applyFont="1" applyFill="1" applyBorder="1"/>
    <xf numFmtId="1" fontId="6" fillId="3" borderId="4" xfId="0" applyNumberFormat="1" applyFont="1" applyFill="1" applyBorder="1"/>
    <xf numFmtId="1" fontId="6" fillId="3" borderId="9" xfId="0" applyNumberFormat="1" applyFont="1" applyFill="1" applyBorder="1"/>
    <xf numFmtId="1" fontId="6" fillId="2" borderId="7" xfId="0" applyNumberFormat="1" applyFont="1" applyFill="1" applyBorder="1"/>
    <xf numFmtId="1" fontId="6" fillId="2" borderId="8" xfId="0" applyNumberFormat="1" applyFont="1" applyFill="1" applyBorder="1"/>
    <xf numFmtId="0" fontId="0" fillId="3" borderId="8" xfId="0" applyFont="1" applyFill="1" applyBorder="1"/>
    <xf numFmtId="0" fontId="2" fillId="3" borderId="0" xfId="0" applyFont="1" applyFill="1" applyBorder="1"/>
    <xf numFmtId="0" fontId="4" fillId="2" borderId="4" xfId="0" applyFont="1" applyFill="1" applyBorder="1"/>
    <xf numFmtId="0" fontId="4" fillId="2" borderId="6" xfId="0" applyFont="1" applyFill="1" applyBorder="1"/>
    <xf numFmtId="0" fontId="4" fillId="2" borderId="9" xfId="0" applyFont="1" applyFill="1" applyBorder="1"/>
    <xf numFmtId="1" fontId="2" fillId="3" borderId="6" xfId="0" applyNumberFormat="1" applyFont="1" applyFill="1" applyBorder="1"/>
    <xf numFmtId="164" fontId="0" fillId="3" borderId="8" xfId="0" applyNumberFormat="1" applyFont="1" applyFill="1" applyBorder="1" applyAlignment="1"/>
    <xf numFmtId="164" fontId="0" fillId="3" borderId="8" xfId="0" applyNumberFormat="1" applyFill="1" applyBorder="1"/>
    <xf numFmtId="164" fontId="4" fillId="3" borderId="8" xfId="0" applyNumberFormat="1" applyFont="1" applyFill="1" applyBorder="1"/>
    <xf numFmtId="0" fontId="1" fillId="4" borderId="1" xfId="0" applyFont="1" applyFill="1" applyBorder="1"/>
    <xf numFmtId="0" fontId="0" fillId="3" borderId="9" xfId="0" applyFont="1" applyFill="1" applyBorder="1"/>
    <xf numFmtId="0" fontId="0" fillId="0" borderId="7" xfId="0" applyBorder="1"/>
    <xf numFmtId="0" fontId="0" fillId="4" borderId="5" xfId="0" applyFill="1" applyBorder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0" xfId="0" applyBorder="1"/>
    <xf numFmtId="0" fontId="0" fillId="0" borderId="13" xfId="0" applyBorder="1"/>
    <xf numFmtId="0" fontId="0" fillId="4" borderId="13" xfId="0" applyFill="1" applyBorder="1"/>
    <xf numFmtId="0" fontId="0" fillId="4" borderId="15" xfId="0" applyFill="1" applyBorder="1"/>
    <xf numFmtId="0" fontId="0" fillId="4" borderId="14" xfId="0" applyFill="1" applyBorder="1" applyAlignment="1">
      <alignment vertical="center" wrapText="1"/>
    </xf>
    <xf numFmtId="0" fontId="0" fillId="4" borderId="15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4" borderId="9" xfId="0" applyFill="1" applyBorder="1" applyAlignment="1">
      <alignment vertical="center" wrapText="1"/>
    </xf>
    <xf numFmtId="0" fontId="0" fillId="4" borderId="9" xfId="0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1" fillId="0" borderId="10" xfId="0" applyFont="1" applyBorder="1"/>
    <xf numFmtId="0" fontId="0" fillId="4" borderId="11" xfId="0" applyFill="1" applyBorder="1"/>
    <xf numFmtId="0" fontId="0" fillId="4" borderId="12" xfId="0" applyFill="1" applyBorder="1"/>
    <xf numFmtId="0" fontId="0" fillId="0" borderId="15" xfId="0" applyBorder="1"/>
    <xf numFmtId="0" fontId="0" fillId="4" borderId="1" xfId="0" applyFill="1" applyBorder="1" applyAlignment="1">
      <alignment vertical="center"/>
    </xf>
    <xf numFmtId="0" fontId="0" fillId="4" borderId="14" xfId="0" applyFill="1" applyBorder="1"/>
    <xf numFmtId="0" fontId="0" fillId="4" borderId="4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9" fillId="4" borderId="6" xfId="0" applyFont="1" applyFill="1" applyBorder="1" applyAlignment="1">
      <alignment vertical="center" wrapText="1"/>
    </xf>
    <xf numFmtId="0" fontId="9" fillId="4" borderId="9" xfId="0" applyFont="1" applyFill="1" applyBorder="1" applyAlignment="1">
      <alignment vertical="center" wrapText="1"/>
    </xf>
    <xf numFmtId="0" fontId="9" fillId="4" borderId="1" xfId="0" applyFont="1" applyFill="1" applyBorder="1"/>
    <xf numFmtId="0" fontId="9" fillId="4" borderId="13" xfId="0" applyFont="1" applyFill="1" applyBorder="1"/>
    <xf numFmtId="0" fontId="9" fillId="4" borderId="15" xfId="0" applyFont="1" applyFill="1" applyBorder="1"/>
    <xf numFmtId="0" fontId="9" fillId="4" borderId="1" xfId="0" applyFont="1" applyFill="1" applyBorder="1" applyAlignment="1">
      <alignment vertical="center"/>
    </xf>
    <xf numFmtId="0" fontId="9" fillId="4" borderId="13" xfId="0" applyFont="1" applyFill="1" applyBorder="1" applyAlignment="1">
      <alignment vertical="center"/>
    </xf>
    <xf numFmtId="0" fontId="9" fillId="4" borderId="15" xfId="0" applyFont="1" applyFill="1" applyBorder="1" applyAlignment="1">
      <alignment vertical="center"/>
    </xf>
    <xf numFmtId="0" fontId="9" fillId="4" borderId="14" xfId="0" applyFont="1" applyFill="1" applyBorder="1"/>
    <xf numFmtId="0" fontId="9" fillId="4" borderId="3" xfId="0" applyFont="1" applyFill="1" applyBorder="1" applyAlignment="1">
      <alignment vertical="center"/>
    </xf>
    <xf numFmtId="0" fontId="9" fillId="4" borderId="0" xfId="0" applyFont="1" applyFill="1" applyBorder="1" applyAlignment="1">
      <alignment vertical="center"/>
    </xf>
    <xf numFmtId="0" fontId="9" fillId="4" borderId="8" xfId="0" applyFont="1" applyFill="1" applyBorder="1" applyAlignment="1">
      <alignment vertical="center"/>
    </xf>
    <xf numFmtId="0" fontId="9" fillId="4" borderId="14" xfId="0" applyFont="1" applyFill="1" applyBorder="1" applyAlignment="1">
      <alignment vertical="center" wrapText="1"/>
    </xf>
    <xf numFmtId="0" fontId="9" fillId="4" borderId="15" xfId="0" applyFont="1" applyFill="1" applyBorder="1" applyAlignment="1">
      <alignment vertical="center" wrapText="1"/>
    </xf>
    <xf numFmtId="0" fontId="4" fillId="4" borderId="13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vertical="center"/>
    </xf>
    <xf numFmtId="0" fontId="9" fillId="0" borderId="1" xfId="0" applyFont="1" applyBorder="1"/>
    <xf numFmtId="0" fontId="4" fillId="4" borderId="13" xfId="0" applyFont="1" applyFill="1" applyBorder="1" applyAlignment="1">
      <alignment vertical="center"/>
    </xf>
    <xf numFmtId="49" fontId="9" fillId="4" borderId="1" xfId="0" applyNumberFormat="1" applyFont="1" applyFill="1" applyBorder="1" applyAlignment="1">
      <alignment horizontal="left"/>
    </xf>
    <xf numFmtId="49" fontId="9" fillId="4" borderId="6" xfId="0" applyNumberFormat="1" applyFont="1" applyFill="1" applyBorder="1" applyAlignment="1">
      <alignment horizontal="left" vertical="center" wrapText="1"/>
    </xf>
    <xf numFmtId="49" fontId="0" fillId="4" borderId="6" xfId="0" applyNumberFormat="1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left"/>
    </xf>
    <xf numFmtId="49" fontId="9" fillId="4" borderId="9" xfId="0" applyNumberFormat="1" applyFont="1" applyFill="1" applyBorder="1" applyAlignment="1">
      <alignment horizontal="left" vertical="center" wrapText="1"/>
    </xf>
    <xf numFmtId="49" fontId="0" fillId="4" borderId="0" xfId="0" applyNumberFormat="1" applyFill="1" applyBorder="1" applyAlignment="1">
      <alignment horizontal="left"/>
    </xf>
    <xf numFmtId="49" fontId="0" fillId="4" borderId="14" xfId="0" applyNumberFormat="1" applyFill="1" applyBorder="1" applyAlignment="1">
      <alignment horizontal="left" vertical="center" wrapText="1"/>
    </xf>
    <xf numFmtId="49" fontId="0" fillId="4" borderId="15" xfId="0" applyNumberFormat="1" applyFill="1" applyBorder="1" applyAlignment="1">
      <alignment horizontal="left" vertical="center" wrapText="1"/>
    </xf>
    <xf numFmtId="49" fontId="0" fillId="4" borderId="13" xfId="0" applyNumberFormat="1" applyFill="1" applyBorder="1" applyAlignment="1">
      <alignment horizontal="left"/>
    </xf>
    <xf numFmtId="49" fontId="0" fillId="4" borderId="15" xfId="0" applyNumberFormat="1" applyFill="1" applyBorder="1" applyAlignment="1">
      <alignment horizontal="left"/>
    </xf>
    <xf numFmtId="49" fontId="0" fillId="4" borderId="0" xfId="0" applyNumberFormat="1" applyFill="1" applyAlignment="1">
      <alignment horizontal="left"/>
    </xf>
    <xf numFmtId="49" fontId="9" fillId="4" borderId="15" xfId="0" applyNumberFormat="1" applyFont="1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49" fontId="9" fillId="4" borderId="13" xfId="0" applyNumberFormat="1" applyFont="1" applyFill="1" applyBorder="1" applyAlignment="1">
      <alignment horizontal="left" vertical="center"/>
    </xf>
    <xf numFmtId="49" fontId="9" fillId="4" borderId="13" xfId="0" applyNumberFormat="1" applyFont="1" applyFill="1" applyBorder="1" applyAlignment="1">
      <alignment horizontal="left"/>
    </xf>
    <xf numFmtId="49" fontId="9" fillId="4" borderId="14" xfId="0" applyNumberFormat="1" applyFont="1" applyFill="1" applyBorder="1" applyAlignment="1">
      <alignment horizontal="left"/>
    </xf>
    <xf numFmtId="49" fontId="0" fillId="4" borderId="0" xfId="0" applyNumberFormat="1" applyFill="1" applyBorder="1" applyAlignment="1">
      <alignment horizontal="left" vertical="center"/>
    </xf>
    <xf numFmtId="49" fontId="0" fillId="4" borderId="4" xfId="0" applyNumberFormat="1" applyFill="1" applyBorder="1" applyAlignment="1">
      <alignment horizontal="left" vertical="center"/>
    </xf>
    <xf numFmtId="49" fontId="0" fillId="4" borderId="6" xfId="0" applyNumberFormat="1" applyFill="1" applyBorder="1" applyAlignment="1">
      <alignment horizontal="left" vertical="center"/>
    </xf>
    <xf numFmtId="49" fontId="0" fillId="4" borderId="9" xfId="0" applyNumberFormat="1" applyFill="1" applyBorder="1" applyAlignment="1">
      <alignment horizontal="left" vertical="center"/>
    </xf>
    <xf numFmtId="49" fontId="9" fillId="4" borderId="15" xfId="0" applyNumberFormat="1" applyFont="1" applyFill="1" applyBorder="1" applyAlignment="1">
      <alignment horizontal="left"/>
    </xf>
    <xf numFmtId="0" fontId="0" fillId="4" borderId="14" xfId="0" applyFill="1" applyBorder="1" applyAlignment="1">
      <alignment vertical="center"/>
    </xf>
    <xf numFmtId="0" fontId="0" fillId="5" borderId="15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4" borderId="1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0" fillId="4" borderId="2" xfId="0" applyFill="1" applyBorder="1" applyAlignment="1"/>
    <xf numFmtId="0" fontId="0" fillId="4" borderId="13" xfId="0" applyFill="1" applyBorder="1" applyAlignment="1">
      <alignment vertical="center" wrapText="1"/>
    </xf>
    <xf numFmtId="0" fontId="0" fillId="0" borderId="12" xfId="0" applyBorder="1"/>
    <xf numFmtId="0" fontId="1" fillId="0" borderId="11" xfId="0" applyFont="1" applyBorder="1"/>
    <xf numFmtId="0" fontId="0" fillId="0" borderId="0" xfId="0" applyFill="1" applyBorder="1"/>
    <xf numFmtId="164" fontId="0" fillId="4" borderId="0" xfId="0" applyNumberFormat="1" applyFont="1" applyFill="1" applyBorder="1" applyAlignment="1">
      <alignment horizontal="center"/>
    </xf>
    <xf numFmtId="1" fontId="2" fillId="4" borderId="0" xfId="0" applyNumberFormat="1" applyFont="1" applyFill="1" applyBorder="1"/>
    <xf numFmtId="3" fontId="0" fillId="0" borderId="0" xfId="0" applyNumberFormat="1"/>
    <xf numFmtId="0" fontId="0" fillId="5" borderId="5" xfId="0" applyFont="1" applyFill="1" applyBorder="1"/>
    <xf numFmtId="0" fontId="0" fillId="5" borderId="0" xfId="0" applyFont="1" applyFill="1" applyBorder="1" applyAlignment="1">
      <alignment horizontal="left"/>
    </xf>
    <xf numFmtId="0" fontId="0" fillId="5" borderId="0" xfId="0" applyFont="1" applyFill="1" applyBorder="1"/>
    <xf numFmtId="3" fontId="4" fillId="5" borderId="5" xfId="0" applyNumberFormat="1" applyFont="1" applyFill="1" applyBorder="1"/>
    <xf numFmtId="3" fontId="4" fillId="5" borderId="0" xfId="0" applyNumberFormat="1" applyFont="1" applyFill="1" applyBorder="1"/>
    <xf numFmtId="3" fontId="4" fillId="5" borderId="6" xfId="0" applyNumberFormat="1" applyFont="1" applyFill="1" applyBorder="1"/>
    <xf numFmtId="3" fontId="0" fillId="5" borderId="5" xfId="0" applyNumberFormat="1" applyFont="1" applyFill="1" applyBorder="1"/>
    <xf numFmtId="0" fontId="0" fillId="5" borderId="5" xfId="0" applyFont="1" applyFill="1" applyBorder="1" applyAlignment="1">
      <alignment horizontal="center" wrapText="1"/>
    </xf>
    <xf numFmtId="0" fontId="0" fillId="5" borderId="0" xfId="0" applyFont="1" applyFill="1" applyBorder="1" applyAlignment="1">
      <alignment horizontal="center" wrapText="1"/>
    </xf>
    <xf numFmtId="0" fontId="0" fillId="5" borderId="6" xfId="0" applyFont="1" applyFill="1" applyBorder="1" applyAlignment="1">
      <alignment horizontal="center" wrapText="1"/>
    </xf>
    <xf numFmtId="3" fontId="10" fillId="5" borderId="0" xfId="0" applyNumberFormat="1" applyFont="1" applyFill="1" applyBorder="1"/>
    <xf numFmtId="0" fontId="10" fillId="4" borderId="3" xfId="0" applyFont="1" applyFill="1" applyBorder="1"/>
    <xf numFmtId="0" fontId="10" fillId="4" borderId="0" xfId="0" applyFont="1" applyFill="1" applyBorder="1"/>
    <xf numFmtId="0" fontId="10" fillId="3" borderId="6" xfId="0" applyFont="1" applyFill="1" applyBorder="1"/>
    <xf numFmtId="164" fontId="0" fillId="4" borderId="6" xfId="0" applyNumberFormat="1" applyFont="1" applyFill="1" applyBorder="1" applyAlignment="1">
      <alignment horizontal="center"/>
    </xf>
    <xf numFmtId="0" fontId="0" fillId="4" borderId="13" xfId="0" applyFont="1" applyFill="1" applyBorder="1"/>
    <xf numFmtId="0" fontId="0" fillId="4" borderId="14" xfId="0" applyFont="1" applyFill="1" applyBorder="1"/>
    <xf numFmtId="0" fontId="0" fillId="4" borderId="15" xfId="0" applyFont="1" applyFill="1" applyBorder="1"/>
    <xf numFmtId="164" fontId="0" fillId="4" borderId="0" xfId="0" applyNumberFormat="1" applyFont="1" applyFill="1" applyBorder="1"/>
    <xf numFmtId="164" fontId="0" fillId="4" borderId="5" xfId="0" applyNumberFormat="1" applyFont="1" applyFill="1" applyBorder="1"/>
    <xf numFmtId="164" fontId="0" fillId="3" borderId="6" xfId="0" applyNumberFormat="1" applyFont="1" applyFill="1" applyBorder="1"/>
    <xf numFmtId="164" fontId="0" fillId="2" borderId="5" xfId="0" applyNumberFormat="1" applyFont="1" applyFill="1" applyBorder="1"/>
    <xf numFmtId="164" fontId="0" fillId="2" borderId="0" xfId="0" applyNumberFormat="1" applyFont="1" applyFill="1" applyBorder="1"/>
    <xf numFmtId="164" fontId="0" fillId="2" borderId="6" xfId="0" applyNumberFormat="1" applyFont="1" applyFill="1" applyBorder="1"/>
    <xf numFmtId="0" fontId="4" fillId="3" borderId="9" xfId="0" applyFont="1" applyFill="1" applyBorder="1"/>
    <xf numFmtId="0" fontId="1" fillId="4" borderId="0" xfId="0" applyFont="1" applyFill="1" applyBorder="1" applyAlignment="1">
      <alignment horizontal="center" wrapText="1"/>
    </xf>
    <xf numFmtId="165" fontId="0" fillId="4" borderId="4" xfId="2" applyNumberFormat="1" applyFont="1" applyFill="1" applyBorder="1" applyAlignment="1">
      <alignment horizontal="center" wrapText="1"/>
    </xf>
    <xf numFmtId="165" fontId="0" fillId="4" borderId="6" xfId="2" applyNumberFormat="1" applyFont="1" applyFill="1" applyBorder="1" applyAlignment="1">
      <alignment horizontal="center" wrapText="1"/>
    </xf>
    <xf numFmtId="0" fontId="0" fillId="4" borderId="4" xfId="0" applyFont="1" applyFill="1" applyBorder="1" applyAlignment="1">
      <alignment horizontal="right" wrapText="1"/>
    </xf>
    <xf numFmtId="0" fontId="0" fillId="4" borderId="6" xfId="0" applyFont="1" applyFill="1" applyBorder="1" applyAlignment="1">
      <alignment horizontal="right" wrapText="1"/>
    </xf>
    <xf numFmtId="0" fontId="0" fillId="4" borderId="9" xfId="0" applyFont="1" applyFill="1" applyBorder="1" applyAlignment="1">
      <alignment horizontal="right" wrapText="1"/>
    </xf>
    <xf numFmtId="1" fontId="12" fillId="0" borderId="0" xfId="0" applyNumberFormat="1" applyFont="1"/>
    <xf numFmtId="1" fontId="12" fillId="8" borderId="16" xfId="0" applyNumberFormat="1" applyFont="1" applyFill="1" applyBorder="1"/>
    <xf numFmtId="1" fontId="12" fillId="0" borderId="17" xfId="0" applyNumberFormat="1" applyFont="1" applyBorder="1"/>
    <xf numFmtId="1" fontId="12" fillId="8" borderId="18" xfId="0" applyNumberFormat="1" applyFont="1" applyFill="1" applyBorder="1"/>
    <xf numFmtId="1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2" fillId="0" borderId="2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6" xfId="0" applyFont="1" applyBorder="1"/>
    <xf numFmtId="0" fontId="12" fillId="0" borderId="7" xfId="0" applyFont="1" applyBorder="1"/>
    <xf numFmtId="0" fontId="12" fillId="0" borderId="8" xfId="0" applyFont="1" applyBorder="1"/>
    <xf numFmtId="0" fontId="12" fillId="0" borderId="9" xfId="0" applyFont="1" applyBorder="1"/>
    <xf numFmtId="0" fontId="1" fillId="0" borderId="12" xfId="0" applyFont="1" applyBorder="1"/>
    <xf numFmtId="0" fontId="12" fillId="0" borderId="0" xfId="0" applyFont="1" applyFill="1" applyBorder="1"/>
    <xf numFmtId="0" fontId="13" fillId="0" borderId="17" xfId="0" applyFont="1" applyBorder="1"/>
    <xf numFmtId="0" fontId="1" fillId="0" borderId="8" xfId="0" applyFont="1" applyBorder="1"/>
    <xf numFmtId="0" fontId="13" fillId="8" borderId="18" xfId="0" applyFont="1" applyFill="1" applyBorder="1"/>
    <xf numFmtId="1" fontId="0" fillId="9" borderId="0" xfId="0" applyNumberFormat="1" applyFill="1"/>
    <xf numFmtId="0" fontId="0" fillId="9" borderId="0" xfId="0" applyFill="1"/>
    <xf numFmtId="1" fontId="0" fillId="10" borderId="0" xfId="0" applyNumberFormat="1" applyFill="1"/>
    <xf numFmtId="0" fontId="0" fillId="10" borderId="0" xfId="0" applyFill="1"/>
    <xf numFmtId="0" fontId="12" fillId="0" borderId="2" xfId="0" quotePrefix="1" applyFont="1" applyBorder="1"/>
    <xf numFmtId="9" fontId="0" fillId="9" borderId="0" xfId="3" applyFont="1" applyFill="1"/>
    <xf numFmtId="9" fontId="0" fillId="10" borderId="0" xfId="3" applyFont="1" applyFill="1"/>
    <xf numFmtId="165" fontId="0" fillId="9" borderId="0" xfId="2" applyNumberFormat="1" applyFont="1" applyFill="1"/>
    <xf numFmtId="165" fontId="0" fillId="10" borderId="0" xfId="2" applyNumberFormat="1" applyFont="1" applyFill="1"/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0" fillId="4" borderId="12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right"/>
    </xf>
    <xf numFmtId="0" fontId="0" fillId="4" borderId="9" xfId="0" applyFont="1" applyFill="1" applyBorder="1" applyAlignment="1">
      <alignment horizontal="right"/>
    </xf>
  </cellXfs>
  <cellStyles count="4">
    <cellStyle name="Header" xfId="1"/>
    <cellStyle name="Komma" xfId="2" builtinId="3"/>
    <cellStyle name="Procent" xfId="3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258535</xdr:colOff>
      <xdr:row>10</xdr:row>
      <xdr:rowOff>34009</xdr:rowOff>
    </xdr:from>
    <xdr:to>
      <xdr:col>8</xdr:col>
      <xdr:colOff>23336</xdr:colOff>
      <xdr:row>11</xdr:row>
      <xdr:rowOff>14302</xdr:rowOff>
    </xdr:to>
    <xdr:sp macro="" textlink="">
      <xdr:nvSpPr>
        <xdr:cNvPr id="9" name="Rechthoek 8"/>
        <xdr:cNvSpPr/>
      </xdr:nvSpPr>
      <xdr:spPr>
        <a:xfrm>
          <a:off x="5912303" y="2891509"/>
          <a:ext cx="472372" cy="1707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243891</xdr:colOff>
      <xdr:row>3</xdr:row>
      <xdr:rowOff>33079</xdr:rowOff>
    </xdr:from>
    <xdr:to>
      <xdr:col>9</xdr:col>
      <xdr:colOff>598713</xdr:colOff>
      <xdr:row>5</xdr:row>
      <xdr:rowOff>6804</xdr:rowOff>
    </xdr:to>
    <xdr:sp macro="" textlink="">
      <xdr:nvSpPr>
        <xdr:cNvPr id="7" name="Rechthoek 6"/>
        <xdr:cNvSpPr/>
      </xdr:nvSpPr>
      <xdr:spPr>
        <a:xfrm>
          <a:off x="6380712" y="604579"/>
          <a:ext cx="354822" cy="3547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9</xdr:col>
      <xdr:colOff>165652</xdr:colOff>
      <xdr:row>6</xdr:row>
      <xdr:rowOff>28998</xdr:rowOff>
    </xdr:from>
    <xdr:to>
      <xdr:col>9</xdr:col>
      <xdr:colOff>601434</xdr:colOff>
      <xdr:row>8</xdr:row>
      <xdr:rowOff>2723</xdr:rowOff>
    </xdr:to>
    <xdr:sp macro="" textlink="">
      <xdr:nvSpPr>
        <xdr:cNvPr id="8" name="Rechthoek 7"/>
        <xdr:cNvSpPr/>
      </xdr:nvSpPr>
      <xdr:spPr>
        <a:xfrm>
          <a:off x="5698435" y="1171998"/>
          <a:ext cx="435782" cy="3547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8</xdr:col>
      <xdr:colOff>273815</xdr:colOff>
      <xdr:row>3</xdr:row>
      <xdr:rowOff>35791</xdr:rowOff>
    </xdr:from>
    <xdr:to>
      <xdr:col>9</xdr:col>
      <xdr:colOff>16316</xdr:colOff>
      <xdr:row>5</xdr:row>
      <xdr:rowOff>9516</xdr:rowOff>
    </xdr:to>
    <xdr:sp macro="" textlink="">
      <xdr:nvSpPr>
        <xdr:cNvPr id="4" name="Rechthoek 3"/>
        <xdr:cNvSpPr/>
      </xdr:nvSpPr>
      <xdr:spPr>
        <a:xfrm>
          <a:off x="5798315" y="607291"/>
          <a:ext cx="354822" cy="3547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5</xdr:col>
      <xdr:colOff>242508</xdr:colOff>
      <xdr:row>3</xdr:row>
      <xdr:rowOff>31704</xdr:rowOff>
    </xdr:from>
    <xdr:to>
      <xdr:col>5</xdr:col>
      <xdr:colOff>597330</xdr:colOff>
      <xdr:row>5</xdr:row>
      <xdr:rowOff>5429</xdr:rowOff>
    </xdr:to>
    <xdr:sp macro="" textlink="">
      <xdr:nvSpPr>
        <xdr:cNvPr id="5" name="Rechthoek 4"/>
        <xdr:cNvSpPr/>
      </xdr:nvSpPr>
      <xdr:spPr>
        <a:xfrm>
          <a:off x="3930044" y="603204"/>
          <a:ext cx="354822" cy="3547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127401</xdr:colOff>
      <xdr:row>3</xdr:row>
      <xdr:rowOff>27592</xdr:rowOff>
    </xdr:from>
    <xdr:to>
      <xdr:col>8</xdr:col>
      <xdr:colOff>599773</xdr:colOff>
      <xdr:row>4</xdr:row>
      <xdr:rowOff>7885</xdr:rowOff>
    </xdr:to>
    <xdr:sp macro="" textlink="">
      <xdr:nvSpPr>
        <xdr:cNvPr id="5" name="Rechthoek 4"/>
        <xdr:cNvSpPr/>
      </xdr:nvSpPr>
      <xdr:spPr>
        <a:xfrm>
          <a:off x="6005687" y="599092"/>
          <a:ext cx="472372" cy="1707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8</xdr:col>
      <xdr:colOff>136918</xdr:colOff>
      <xdr:row>5</xdr:row>
      <xdr:rowOff>30312</xdr:rowOff>
    </xdr:from>
    <xdr:to>
      <xdr:col>8</xdr:col>
      <xdr:colOff>609290</xdr:colOff>
      <xdr:row>6</xdr:row>
      <xdr:rowOff>10605</xdr:rowOff>
    </xdr:to>
    <xdr:sp macro="" textlink="">
      <xdr:nvSpPr>
        <xdr:cNvPr id="6" name="Rechthoek 5"/>
        <xdr:cNvSpPr/>
      </xdr:nvSpPr>
      <xdr:spPr>
        <a:xfrm>
          <a:off x="6015204" y="982812"/>
          <a:ext cx="472372" cy="1707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8</xdr:col>
      <xdr:colOff>132834</xdr:colOff>
      <xdr:row>8</xdr:row>
      <xdr:rowOff>12611</xdr:rowOff>
    </xdr:from>
    <xdr:to>
      <xdr:col>8</xdr:col>
      <xdr:colOff>605206</xdr:colOff>
      <xdr:row>8</xdr:row>
      <xdr:rowOff>183404</xdr:rowOff>
    </xdr:to>
    <xdr:sp macro="" textlink="">
      <xdr:nvSpPr>
        <xdr:cNvPr id="8" name="Rechthoek 7"/>
        <xdr:cNvSpPr/>
      </xdr:nvSpPr>
      <xdr:spPr>
        <a:xfrm>
          <a:off x="6011120" y="1917611"/>
          <a:ext cx="472372" cy="1707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6</xdr:col>
      <xdr:colOff>153254</xdr:colOff>
      <xdr:row>6</xdr:row>
      <xdr:rowOff>5820</xdr:rowOff>
    </xdr:from>
    <xdr:to>
      <xdr:col>7</xdr:col>
      <xdr:colOff>13305</xdr:colOff>
      <xdr:row>6</xdr:row>
      <xdr:rowOff>176613</xdr:rowOff>
    </xdr:to>
    <xdr:sp macro="" textlink="">
      <xdr:nvSpPr>
        <xdr:cNvPr id="7" name="Rechthoek 6"/>
        <xdr:cNvSpPr/>
      </xdr:nvSpPr>
      <xdr:spPr>
        <a:xfrm>
          <a:off x="4806897" y="1148820"/>
          <a:ext cx="472372" cy="1707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6</xdr:col>
      <xdr:colOff>156486</xdr:colOff>
      <xdr:row>5</xdr:row>
      <xdr:rowOff>13608</xdr:rowOff>
    </xdr:from>
    <xdr:to>
      <xdr:col>7</xdr:col>
      <xdr:colOff>16537</xdr:colOff>
      <xdr:row>5</xdr:row>
      <xdr:rowOff>184401</xdr:rowOff>
    </xdr:to>
    <xdr:sp macro="" textlink="">
      <xdr:nvSpPr>
        <xdr:cNvPr id="9" name="Rechthoek 8"/>
        <xdr:cNvSpPr/>
      </xdr:nvSpPr>
      <xdr:spPr>
        <a:xfrm>
          <a:off x="4810129" y="966108"/>
          <a:ext cx="472372" cy="1707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87410</xdr:colOff>
      <xdr:row>6</xdr:row>
      <xdr:rowOff>26276</xdr:rowOff>
    </xdr:from>
    <xdr:to>
      <xdr:col>10</xdr:col>
      <xdr:colOff>599789</xdr:colOff>
      <xdr:row>7</xdr:row>
      <xdr:rowOff>6569</xdr:rowOff>
    </xdr:to>
    <xdr:sp macro="" textlink="">
      <xdr:nvSpPr>
        <xdr:cNvPr id="4" name="Rechthoek 3"/>
        <xdr:cNvSpPr/>
      </xdr:nvSpPr>
      <xdr:spPr>
        <a:xfrm>
          <a:off x="8374160" y="597776"/>
          <a:ext cx="512379" cy="1707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10</xdr:col>
      <xdr:colOff>271339</xdr:colOff>
      <xdr:row>9</xdr:row>
      <xdr:rowOff>27592</xdr:rowOff>
    </xdr:from>
    <xdr:to>
      <xdr:col>10</xdr:col>
      <xdr:colOff>599789</xdr:colOff>
      <xdr:row>10</xdr:row>
      <xdr:rowOff>7885</xdr:rowOff>
    </xdr:to>
    <xdr:sp macro="" textlink="">
      <xdr:nvSpPr>
        <xdr:cNvPr id="5" name="Rechthoek 4"/>
        <xdr:cNvSpPr/>
      </xdr:nvSpPr>
      <xdr:spPr>
        <a:xfrm>
          <a:off x="8558089" y="1170592"/>
          <a:ext cx="328450" cy="1707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7</xdr:col>
      <xdr:colOff>34019</xdr:colOff>
      <xdr:row>18</xdr:row>
      <xdr:rowOff>20786</xdr:rowOff>
    </xdr:from>
    <xdr:to>
      <xdr:col>10</xdr:col>
      <xdr:colOff>591911</xdr:colOff>
      <xdr:row>23</xdr:row>
      <xdr:rowOff>170558</xdr:rowOff>
    </xdr:to>
    <xdr:sp macro="" textlink="">
      <xdr:nvSpPr>
        <xdr:cNvPr id="6" name="Rechthoek 5"/>
        <xdr:cNvSpPr/>
      </xdr:nvSpPr>
      <xdr:spPr>
        <a:xfrm>
          <a:off x="6116412" y="3449786"/>
          <a:ext cx="2394856" cy="11022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7</xdr:col>
      <xdr:colOff>34018</xdr:colOff>
      <xdr:row>13</xdr:row>
      <xdr:rowOff>30215</xdr:rowOff>
    </xdr:from>
    <xdr:to>
      <xdr:col>10</xdr:col>
      <xdr:colOff>599789</xdr:colOff>
      <xdr:row>14</xdr:row>
      <xdr:rowOff>13607</xdr:rowOff>
    </xdr:to>
    <xdr:sp macro="" textlink="">
      <xdr:nvSpPr>
        <xdr:cNvPr id="8" name="Rechthoek 7"/>
        <xdr:cNvSpPr/>
      </xdr:nvSpPr>
      <xdr:spPr>
        <a:xfrm>
          <a:off x="6116411" y="2506715"/>
          <a:ext cx="2402735" cy="1738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7</xdr:col>
      <xdr:colOff>29928</xdr:colOff>
      <xdr:row>15</xdr:row>
      <xdr:rowOff>23497</xdr:rowOff>
    </xdr:from>
    <xdr:to>
      <xdr:col>10</xdr:col>
      <xdr:colOff>599789</xdr:colOff>
      <xdr:row>17</xdr:row>
      <xdr:rowOff>176893</xdr:rowOff>
    </xdr:to>
    <xdr:sp macro="" textlink="">
      <xdr:nvSpPr>
        <xdr:cNvPr id="10" name="Rechthoek 9"/>
        <xdr:cNvSpPr/>
      </xdr:nvSpPr>
      <xdr:spPr>
        <a:xfrm>
          <a:off x="6479714" y="2309497"/>
          <a:ext cx="2406825" cy="53439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9</xdr:col>
      <xdr:colOff>319768</xdr:colOff>
      <xdr:row>7</xdr:row>
      <xdr:rowOff>17743</xdr:rowOff>
    </xdr:from>
    <xdr:to>
      <xdr:col>10</xdr:col>
      <xdr:colOff>1076</xdr:colOff>
      <xdr:row>8</xdr:row>
      <xdr:rowOff>15115</xdr:rowOff>
    </xdr:to>
    <xdr:sp macro="" textlink="">
      <xdr:nvSpPr>
        <xdr:cNvPr id="7" name="Rechthoek 6"/>
        <xdr:cNvSpPr/>
      </xdr:nvSpPr>
      <xdr:spPr>
        <a:xfrm>
          <a:off x="7347857" y="779743"/>
          <a:ext cx="293630" cy="1878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6</xdr:col>
      <xdr:colOff>315674</xdr:colOff>
      <xdr:row>7</xdr:row>
      <xdr:rowOff>20459</xdr:rowOff>
    </xdr:from>
    <xdr:to>
      <xdr:col>6</xdr:col>
      <xdr:colOff>609304</xdr:colOff>
      <xdr:row>8</xdr:row>
      <xdr:rowOff>17831</xdr:rowOff>
    </xdr:to>
    <xdr:sp macro="" textlink="">
      <xdr:nvSpPr>
        <xdr:cNvPr id="9" name="Rechthoek 8"/>
        <xdr:cNvSpPr/>
      </xdr:nvSpPr>
      <xdr:spPr>
        <a:xfrm>
          <a:off x="5785745" y="1353959"/>
          <a:ext cx="293630" cy="1878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7"/>
  <sheetViews>
    <sheetView topLeftCell="K1" zoomScale="90" zoomScaleNormal="90" workbookViewId="0">
      <selection activeCell="M20" sqref="M20"/>
    </sheetView>
  </sheetViews>
  <sheetFormatPr defaultRowHeight="15" x14ac:dyDescent="0.25"/>
  <cols>
    <col min="1" max="1" width="0" hidden="1" customWidth="1"/>
    <col min="2" max="2" width="10.28515625" hidden="1" customWidth="1"/>
    <col min="3" max="3" width="22.5703125" hidden="1" customWidth="1"/>
    <col min="4" max="4" width="18.28515625" hidden="1" customWidth="1"/>
    <col min="5" max="5" width="27.42578125" hidden="1" customWidth="1"/>
    <col min="6" max="6" width="0.85546875" style="29" hidden="1" customWidth="1"/>
    <col min="7" max="7" width="14.140625" hidden="1" customWidth="1"/>
    <col min="8" max="8" width="7.5703125" hidden="1" customWidth="1"/>
    <col min="9" max="10" width="0" hidden="1" customWidth="1"/>
    <col min="12" max="12" width="24.7109375" customWidth="1"/>
    <col min="13" max="14" width="18.5703125" bestFit="1" customWidth="1"/>
    <col min="15" max="17" width="18.5703125" customWidth="1"/>
    <col min="21" max="24" width="18.5703125" customWidth="1"/>
  </cols>
  <sheetData>
    <row r="1" spans="2:17" x14ac:dyDescent="0.25">
      <c r="C1" s="1"/>
      <c r="H1" s="29"/>
    </row>
    <row r="2" spans="2:17" x14ac:dyDescent="0.25">
      <c r="B2" s="29"/>
      <c r="C2" s="38" t="s">
        <v>42</v>
      </c>
      <c r="D2" s="38" t="s">
        <v>43</v>
      </c>
      <c r="E2" s="38" t="s">
        <v>44</v>
      </c>
      <c r="G2" s="29"/>
      <c r="H2" s="29"/>
      <c r="L2" s="194" t="s">
        <v>127</v>
      </c>
      <c r="M2" s="208" t="s">
        <v>110</v>
      </c>
      <c r="N2" s="26" t="s">
        <v>130</v>
      </c>
      <c r="O2" s="209"/>
      <c r="P2" s="209"/>
      <c r="Q2" s="210"/>
    </row>
    <row r="3" spans="2:17" x14ac:dyDescent="0.25">
      <c r="B3" s="341" t="s">
        <v>49</v>
      </c>
      <c r="C3" s="40" t="s">
        <v>3</v>
      </c>
      <c r="D3" s="44" t="s">
        <v>53</v>
      </c>
      <c r="E3" s="44" t="s">
        <v>53</v>
      </c>
      <c r="G3" s="29"/>
      <c r="H3" s="29"/>
      <c r="M3" s="195" t="s">
        <v>106</v>
      </c>
      <c r="N3" s="192" t="s">
        <v>113</v>
      </c>
      <c r="O3" s="200" t="s">
        <v>134</v>
      </c>
      <c r="P3" s="202" t="s">
        <v>112</v>
      </c>
      <c r="Q3" s="202" t="s">
        <v>111</v>
      </c>
    </row>
    <row r="4" spans="2:17" x14ac:dyDescent="0.25">
      <c r="B4" s="342"/>
      <c r="C4" s="41" t="s">
        <v>3</v>
      </c>
      <c r="D4" s="45" t="s">
        <v>52</v>
      </c>
      <c r="E4" s="45" t="s">
        <v>52</v>
      </c>
      <c r="G4" s="29"/>
      <c r="H4" s="29"/>
      <c r="M4" s="195" t="s">
        <v>53</v>
      </c>
      <c r="N4" s="195" t="s">
        <v>114</v>
      </c>
      <c r="O4" s="203" t="s">
        <v>135</v>
      </c>
      <c r="P4" s="202"/>
      <c r="Q4" s="202"/>
    </row>
    <row r="5" spans="2:17" x14ac:dyDescent="0.25">
      <c r="B5" s="342"/>
      <c r="C5" s="41" t="s">
        <v>3</v>
      </c>
      <c r="D5" s="45" t="s">
        <v>29</v>
      </c>
      <c r="E5" s="45" t="s">
        <v>29</v>
      </c>
      <c r="G5" s="29"/>
      <c r="H5" s="29"/>
      <c r="M5" s="195" t="s">
        <v>52</v>
      </c>
      <c r="N5" s="195" t="s">
        <v>115</v>
      </c>
      <c r="O5" s="17"/>
      <c r="P5" s="200"/>
      <c r="Q5" s="202"/>
    </row>
    <row r="6" spans="2:17" x14ac:dyDescent="0.25">
      <c r="B6" s="342"/>
      <c r="C6" s="41" t="s">
        <v>2</v>
      </c>
      <c r="D6" s="47" t="s">
        <v>30</v>
      </c>
      <c r="E6" s="39" t="s">
        <v>54</v>
      </c>
      <c r="G6" s="29"/>
      <c r="H6" s="29"/>
      <c r="M6" s="195" t="s">
        <v>29</v>
      </c>
      <c r="N6" s="195" t="s">
        <v>116</v>
      </c>
      <c r="O6" s="17"/>
      <c r="P6" s="201"/>
      <c r="Q6" s="202"/>
    </row>
    <row r="7" spans="2:17" x14ac:dyDescent="0.25">
      <c r="B7" s="342"/>
      <c r="C7" s="41" t="s">
        <v>2</v>
      </c>
      <c r="D7" s="47" t="s">
        <v>55</v>
      </c>
      <c r="E7" s="45" t="s">
        <v>45</v>
      </c>
      <c r="G7" s="29"/>
      <c r="H7" s="29"/>
      <c r="L7" s="347" t="s">
        <v>97</v>
      </c>
      <c r="M7" s="195" t="s">
        <v>54</v>
      </c>
      <c r="N7" s="195" t="s">
        <v>128</v>
      </c>
      <c r="O7" s="17"/>
      <c r="P7" s="17"/>
      <c r="Q7" s="200"/>
    </row>
    <row r="8" spans="2:17" x14ac:dyDescent="0.25">
      <c r="B8" s="342"/>
      <c r="C8" s="41" t="s">
        <v>0</v>
      </c>
      <c r="D8" s="35" t="s">
        <v>48</v>
      </c>
      <c r="E8" s="47" t="s">
        <v>37</v>
      </c>
      <c r="G8" s="29"/>
      <c r="H8" s="29"/>
      <c r="L8" s="347"/>
      <c r="M8" s="195" t="s">
        <v>107</v>
      </c>
      <c r="N8" s="195" t="s">
        <v>117</v>
      </c>
      <c r="O8" s="17"/>
      <c r="P8" s="17"/>
      <c r="Q8" s="201"/>
    </row>
    <row r="9" spans="2:17" x14ac:dyDescent="0.25">
      <c r="B9" s="342"/>
      <c r="C9" s="41" t="s">
        <v>1</v>
      </c>
      <c r="D9" s="35" t="s">
        <v>48</v>
      </c>
      <c r="E9" s="47" t="s">
        <v>36</v>
      </c>
      <c r="G9" s="29"/>
      <c r="H9" s="29"/>
      <c r="M9" s="195" t="s">
        <v>108</v>
      </c>
      <c r="N9" s="196" t="s">
        <v>125</v>
      </c>
      <c r="O9" s="206" t="s">
        <v>118</v>
      </c>
      <c r="P9" s="29"/>
      <c r="Q9" s="29"/>
    </row>
    <row r="10" spans="2:17" x14ac:dyDescent="0.25">
      <c r="B10" s="342"/>
      <c r="C10" s="41" t="s">
        <v>4</v>
      </c>
      <c r="D10" s="35" t="s">
        <v>48</v>
      </c>
      <c r="E10" s="45" t="s">
        <v>46</v>
      </c>
      <c r="G10" s="29"/>
      <c r="H10" s="29"/>
      <c r="M10" s="195" t="s">
        <v>46</v>
      </c>
      <c r="N10" s="196" t="s">
        <v>126</v>
      </c>
      <c r="O10" s="207"/>
      <c r="P10" s="29"/>
      <c r="Q10" s="29"/>
    </row>
    <row r="11" spans="2:17" x14ac:dyDescent="0.25">
      <c r="B11" s="342"/>
      <c r="C11" s="41" t="s">
        <v>5</v>
      </c>
      <c r="D11" s="35" t="s">
        <v>48</v>
      </c>
      <c r="E11" s="45" t="s">
        <v>47</v>
      </c>
      <c r="G11" s="29"/>
      <c r="H11" s="29"/>
      <c r="M11" s="195" t="s">
        <v>36</v>
      </c>
      <c r="N11" s="195" t="s">
        <v>119</v>
      </c>
      <c r="O11" s="29"/>
      <c r="P11" s="29"/>
      <c r="Q11" s="29"/>
    </row>
    <row r="12" spans="2:17" x14ac:dyDescent="0.25">
      <c r="B12" s="343"/>
      <c r="C12" s="42" t="s">
        <v>6</v>
      </c>
      <c r="D12" s="37" t="s">
        <v>48</v>
      </c>
      <c r="E12" s="46" t="s">
        <v>41</v>
      </c>
      <c r="G12" s="29"/>
      <c r="H12" s="29"/>
      <c r="M12" s="195" t="s">
        <v>41</v>
      </c>
      <c r="N12" s="195" t="s">
        <v>120</v>
      </c>
      <c r="O12" s="29"/>
      <c r="P12" s="29"/>
      <c r="Q12" s="29"/>
    </row>
    <row r="13" spans="2:17" x14ac:dyDescent="0.25">
      <c r="B13" s="341" t="s">
        <v>50</v>
      </c>
      <c r="C13" s="40" t="s">
        <v>59</v>
      </c>
      <c r="D13" s="36" t="s">
        <v>48</v>
      </c>
      <c r="E13" s="48" t="s">
        <v>40</v>
      </c>
      <c r="G13" s="29"/>
      <c r="H13" s="29"/>
      <c r="M13" s="195" t="s">
        <v>109</v>
      </c>
      <c r="N13" s="197" t="s">
        <v>125</v>
      </c>
      <c r="O13" s="29"/>
      <c r="P13" s="29"/>
      <c r="Q13" s="29"/>
    </row>
    <row r="14" spans="2:17" x14ac:dyDescent="0.25">
      <c r="B14" s="342"/>
      <c r="C14" s="41" t="s">
        <v>35</v>
      </c>
      <c r="D14" s="35" t="s">
        <v>48</v>
      </c>
      <c r="E14" s="47" t="s">
        <v>35</v>
      </c>
      <c r="G14" s="29"/>
      <c r="H14" s="29"/>
      <c r="M14" s="196" t="s">
        <v>33</v>
      </c>
      <c r="N14" s="206" t="s">
        <v>123</v>
      </c>
      <c r="O14" s="344" t="s">
        <v>129</v>
      </c>
      <c r="P14" s="29"/>
      <c r="Q14" s="29"/>
    </row>
    <row r="15" spans="2:17" x14ac:dyDescent="0.25">
      <c r="B15" s="342"/>
      <c r="C15" s="41" t="s">
        <v>60</v>
      </c>
      <c r="D15" s="35" t="s">
        <v>48</v>
      </c>
      <c r="E15" s="47" t="s">
        <v>40</v>
      </c>
      <c r="G15" s="1" t="s">
        <v>56</v>
      </c>
      <c r="H15" s="29"/>
      <c r="M15" s="196" t="s">
        <v>65</v>
      </c>
      <c r="N15" s="207"/>
      <c r="O15" s="344"/>
      <c r="P15" s="29"/>
      <c r="Q15" s="29"/>
    </row>
    <row r="16" spans="2:17" x14ac:dyDescent="0.25">
      <c r="B16" s="342"/>
      <c r="C16" s="41" t="s">
        <v>39</v>
      </c>
      <c r="D16" s="35" t="s">
        <v>48</v>
      </c>
      <c r="E16" s="47" t="s">
        <v>34</v>
      </c>
      <c r="G16" s="50" t="s">
        <v>51</v>
      </c>
      <c r="H16" s="29"/>
      <c r="M16" s="195" t="s">
        <v>35</v>
      </c>
      <c r="N16" s="211" t="s">
        <v>122</v>
      </c>
      <c r="O16" s="345"/>
      <c r="P16" s="29"/>
      <c r="Q16" s="29"/>
    </row>
    <row r="17" spans="2:17" x14ac:dyDescent="0.25">
      <c r="B17" s="342"/>
      <c r="C17" s="41" t="s">
        <v>61</v>
      </c>
      <c r="D17" s="35" t="s">
        <v>48</v>
      </c>
      <c r="E17" s="47" t="s">
        <v>40</v>
      </c>
      <c r="G17" s="51" t="s">
        <v>57</v>
      </c>
      <c r="H17" s="29"/>
      <c r="M17" s="195" t="s">
        <v>100</v>
      </c>
      <c r="N17" s="195" t="s">
        <v>121</v>
      </c>
      <c r="O17" s="345"/>
      <c r="P17" s="29"/>
      <c r="Q17" s="29"/>
    </row>
    <row r="18" spans="2:17" x14ac:dyDescent="0.25">
      <c r="B18" s="342"/>
      <c r="C18" s="41" t="s">
        <v>33</v>
      </c>
      <c r="D18" s="35" t="s">
        <v>48</v>
      </c>
      <c r="E18" s="47" t="s">
        <v>33</v>
      </c>
      <c r="G18" s="52" t="s">
        <v>58</v>
      </c>
      <c r="H18" s="29"/>
      <c r="L18" s="346" t="s">
        <v>66</v>
      </c>
      <c r="M18" s="195" t="s">
        <v>99</v>
      </c>
      <c r="N18" s="347" t="s">
        <v>124</v>
      </c>
      <c r="O18" s="345"/>
      <c r="P18" s="29"/>
      <c r="Q18" s="29"/>
    </row>
    <row r="19" spans="2:17" x14ac:dyDescent="0.25">
      <c r="B19" s="343"/>
      <c r="C19" s="43" t="s">
        <v>62</v>
      </c>
      <c r="D19" s="37" t="s">
        <v>48</v>
      </c>
      <c r="E19" s="49" t="s">
        <v>40</v>
      </c>
      <c r="G19" s="53" t="s">
        <v>69</v>
      </c>
      <c r="H19" s="29"/>
      <c r="L19" s="346"/>
      <c r="M19" s="195" t="s">
        <v>101</v>
      </c>
      <c r="N19" s="347"/>
      <c r="O19" s="345"/>
      <c r="P19" s="29"/>
      <c r="Q19" s="29"/>
    </row>
    <row r="20" spans="2:17" x14ac:dyDescent="0.25">
      <c r="L20" s="346"/>
      <c r="M20" s="195" t="s">
        <v>102</v>
      </c>
      <c r="N20" s="347"/>
      <c r="O20" s="345"/>
      <c r="P20" s="29"/>
      <c r="Q20" s="29"/>
    </row>
    <row r="21" spans="2:17" x14ac:dyDescent="0.25">
      <c r="C21" t="s">
        <v>70</v>
      </c>
    </row>
    <row r="22" spans="2:17" x14ac:dyDescent="0.25">
      <c r="C22" t="s">
        <v>77</v>
      </c>
    </row>
    <row r="23" spans="2:17" x14ac:dyDescent="0.25">
      <c r="C23" t="s">
        <v>76</v>
      </c>
    </row>
    <row r="24" spans="2:17" x14ac:dyDescent="0.25">
      <c r="C24" t="s">
        <v>78</v>
      </c>
    </row>
    <row r="25" spans="2:17" x14ac:dyDescent="0.25">
      <c r="C25" t="s">
        <v>79</v>
      </c>
    </row>
    <row r="28" spans="2:17" x14ac:dyDescent="0.25">
      <c r="C28" t="s">
        <v>74</v>
      </c>
    </row>
    <row r="29" spans="2:17" x14ac:dyDescent="0.25">
      <c r="C29" t="s">
        <v>75</v>
      </c>
    </row>
    <row r="36" spans="3:3" x14ac:dyDescent="0.25">
      <c r="C36" t="s">
        <v>104</v>
      </c>
    </row>
    <row r="37" spans="3:3" x14ac:dyDescent="0.25">
      <c r="C37" t="s">
        <v>105</v>
      </c>
    </row>
  </sheetData>
  <mergeCells count="6">
    <mergeCell ref="B13:B19"/>
    <mergeCell ref="O14:O20"/>
    <mergeCell ref="L18:L20"/>
    <mergeCell ref="N18:N20"/>
    <mergeCell ref="B3:B12"/>
    <mergeCell ref="L7:L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8"/>
  <sheetViews>
    <sheetView zoomScale="140" zoomScaleNormal="140" workbookViewId="0">
      <selection activeCell="G13" sqref="G13"/>
    </sheetView>
  </sheetViews>
  <sheetFormatPr defaultRowHeight="15" x14ac:dyDescent="0.25"/>
  <cols>
    <col min="1" max="1" width="9.140625" style="1"/>
    <col min="2" max="2" width="22.5703125" style="1" bestFit="1" customWidth="1"/>
    <col min="3" max="12" width="8.140625" style="1" customWidth="1"/>
    <col min="13" max="15" width="9.140625" style="1"/>
    <col min="16" max="16" width="18.5703125" style="1" bestFit="1" customWidth="1"/>
    <col min="17" max="16384" width="9.140625" style="1"/>
  </cols>
  <sheetData>
    <row r="2" spans="2:16" x14ac:dyDescent="0.25">
      <c r="B2" s="64"/>
      <c r="C2" s="348" t="s">
        <v>67</v>
      </c>
      <c r="D2" s="349"/>
      <c r="E2" s="350"/>
      <c r="F2" s="348" t="s">
        <v>68</v>
      </c>
      <c r="G2" s="349"/>
      <c r="H2" s="349"/>
      <c r="I2" s="350"/>
      <c r="J2" s="348" t="s">
        <v>13</v>
      </c>
      <c r="K2" s="349"/>
      <c r="L2" s="350"/>
      <c r="N2" s="1">
        <v>1.5</v>
      </c>
    </row>
    <row r="3" spans="2:16" x14ac:dyDescent="0.25">
      <c r="B3" s="190" t="s">
        <v>8</v>
      </c>
      <c r="C3" s="125" t="s">
        <v>9</v>
      </c>
      <c r="D3" s="125" t="s">
        <v>10</v>
      </c>
      <c r="E3" s="126" t="s">
        <v>11</v>
      </c>
      <c r="F3" s="54" t="s">
        <v>9</v>
      </c>
      <c r="G3" s="127" t="s">
        <v>10</v>
      </c>
      <c r="H3" s="127" t="s">
        <v>11</v>
      </c>
      <c r="I3" s="139" t="s">
        <v>12</v>
      </c>
      <c r="J3" s="31">
        <v>1</v>
      </c>
      <c r="K3" s="31">
        <v>2</v>
      </c>
      <c r="L3" s="32">
        <v>3</v>
      </c>
      <c r="N3" s="302">
        <v>12</v>
      </c>
    </row>
    <row r="4" spans="2:16" x14ac:dyDescent="0.25">
      <c r="B4" s="292" t="s">
        <v>227</v>
      </c>
      <c r="C4" s="116">
        <v>0.2</v>
      </c>
      <c r="D4" s="117">
        <v>0.1</v>
      </c>
      <c r="E4" s="183">
        <v>0.5</v>
      </c>
      <c r="F4" s="59">
        <v>0.2</v>
      </c>
      <c r="G4" s="34">
        <v>0.1</v>
      </c>
      <c r="H4" s="34">
        <v>0.5</v>
      </c>
      <c r="I4" s="163">
        <v>0.5</v>
      </c>
      <c r="J4" s="21"/>
      <c r="K4" s="15"/>
      <c r="L4" s="16"/>
      <c r="N4" s="1">
        <f>SUM(N2:N3)/2</f>
        <v>6.75</v>
      </c>
    </row>
    <row r="5" spans="2:16" x14ac:dyDescent="0.25">
      <c r="B5" s="293" t="s">
        <v>97</v>
      </c>
      <c r="C5" s="118">
        <v>0.2</v>
      </c>
      <c r="D5" s="119">
        <v>0.1</v>
      </c>
      <c r="E5" s="184">
        <v>0.9</v>
      </c>
      <c r="F5" s="63">
        <v>0.2</v>
      </c>
      <c r="G5" s="120">
        <v>0.1</v>
      </c>
      <c r="H5" s="120">
        <v>0.5</v>
      </c>
      <c r="I5" s="140">
        <v>0.5</v>
      </c>
      <c r="J5" s="22"/>
      <c r="K5" s="17"/>
      <c r="L5" s="18"/>
    </row>
    <row r="6" spans="2:16" x14ac:dyDescent="0.25">
      <c r="B6" s="293" t="s">
        <v>46</v>
      </c>
      <c r="C6" s="71">
        <v>0.6</v>
      </c>
      <c r="D6" s="72">
        <v>0.1</v>
      </c>
      <c r="E6" s="135">
        <v>0.8</v>
      </c>
      <c r="F6" s="63">
        <v>0.2</v>
      </c>
      <c r="G6" s="64">
        <v>0.1</v>
      </c>
      <c r="H6" s="64">
        <v>0.5</v>
      </c>
      <c r="I6" s="140">
        <v>0.5</v>
      </c>
      <c r="J6" s="22"/>
      <c r="K6" s="17"/>
      <c r="L6" s="18"/>
    </row>
    <row r="7" spans="2:16" x14ac:dyDescent="0.25">
      <c r="B7" s="293" t="s">
        <v>108</v>
      </c>
      <c r="C7" s="71">
        <v>0.2</v>
      </c>
      <c r="D7" s="72">
        <v>0.3</v>
      </c>
      <c r="E7" s="135">
        <v>0.5</v>
      </c>
      <c r="F7" s="63">
        <v>0.2</v>
      </c>
      <c r="G7" s="64">
        <v>0.1</v>
      </c>
      <c r="H7" s="64">
        <v>0.5</v>
      </c>
      <c r="I7" s="140">
        <v>0.5</v>
      </c>
      <c r="J7" s="22"/>
      <c r="K7" s="17"/>
      <c r="L7" s="18"/>
    </row>
    <row r="8" spans="2:16" x14ac:dyDescent="0.25">
      <c r="B8" s="293" t="s">
        <v>41</v>
      </c>
      <c r="C8" s="71">
        <v>0.2</v>
      </c>
      <c r="D8" s="72">
        <v>0.1</v>
      </c>
      <c r="E8" s="135">
        <v>0.5</v>
      </c>
      <c r="F8" s="63">
        <v>0.2</v>
      </c>
      <c r="G8" s="64">
        <v>0.1</v>
      </c>
      <c r="H8" s="64">
        <v>0.5</v>
      </c>
      <c r="I8" s="140">
        <v>0.5</v>
      </c>
      <c r="J8" s="22"/>
      <c r="K8" s="17"/>
      <c r="L8" s="18"/>
    </row>
    <row r="9" spans="2:16" x14ac:dyDescent="0.25">
      <c r="B9" s="293" t="s">
        <v>109</v>
      </c>
      <c r="C9" s="118">
        <v>0.2</v>
      </c>
      <c r="D9" s="119">
        <v>0.4</v>
      </c>
      <c r="E9" s="184">
        <v>0.5</v>
      </c>
      <c r="F9" s="63">
        <v>0.2</v>
      </c>
      <c r="G9" s="120">
        <v>0.1</v>
      </c>
      <c r="H9" s="120">
        <v>0.5</v>
      </c>
      <c r="I9" s="140">
        <v>0.5</v>
      </c>
      <c r="J9" s="22"/>
      <c r="K9" s="17"/>
      <c r="L9" s="18"/>
    </row>
    <row r="10" spans="2:16" x14ac:dyDescent="0.25">
      <c r="B10" s="294" t="s">
        <v>36</v>
      </c>
      <c r="C10" s="81">
        <v>0.2</v>
      </c>
      <c r="D10" s="82">
        <v>0.1</v>
      </c>
      <c r="E10" s="136">
        <v>0.5</v>
      </c>
      <c r="F10" s="67">
        <v>0.2</v>
      </c>
      <c r="G10" s="68">
        <v>0.1</v>
      </c>
      <c r="H10" s="68">
        <v>0.5</v>
      </c>
      <c r="I10" s="301">
        <v>0.5</v>
      </c>
      <c r="J10" s="23"/>
      <c r="K10" s="19"/>
      <c r="L10" s="20"/>
    </row>
    <row r="11" spans="2:16" x14ac:dyDescent="0.25">
      <c r="B11" s="293" t="s">
        <v>33</v>
      </c>
      <c r="C11" s="71">
        <v>0.2</v>
      </c>
      <c r="D11" s="72">
        <v>0.1</v>
      </c>
      <c r="E11" s="135">
        <v>1.6</v>
      </c>
      <c r="F11" s="63">
        <v>0.2</v>
      </c>
      <c r="G11" s="64">
        <v>0.1</v>
      </c>
      <c r="H11" s="120">
        <v>3.2</v>
      </c>
      <c r="I11" s="140">
        <v>1.5</v>
      </c>
      <c r="J11" s="193" t="s">
        <v>80</v>
      </c>
      <c r="K11" s="17"/>
      <c r="L11" s="18"/>
    </row>
    <row r="12" spans="2:16" x14ac:dyDescent="0.25">
      <c r="B12" s="293" t="s">
        <v>65</v>
      </c>
      <c r="C12" s="71">
        <v>0.2</v>
      </c>
      <c r="D12" s="72">
        <v>0.1</v>
      </c>
      <c r="E12" s="135">
        <v>0.8</v>
      </c>
      <c r="F12" s="63">
        <v>0.2</v>
      </c>
      <c r="G12" s="64">
        <v>0.1</v>
      </c>
      <c r="H12" s="64">
        <v>0.5</v>
      </c>
      <c r="I12" s="140">
        <v>0.5</v>
      </c>
      <c r="J12" s="22"/>
      <c r="K12" s="17"/>
      <c r="L12" s="18"/>
      <c r="P12" s="63" t="s">
        <v>54</v>
      </c>
    </row>
    <row r="13" spans="2:16" x14ac:dyDescent="0.25">
      <c r="B13" s="293" t="s">
        <v>35</v>
      </c>
      <c r="C13" s="71">
        <v>0.2</v>
      </c>
      <c r="D13" s="72">
        <v>0.1</v>
      </c>
      <c r="E13" s="135">
        <v>0.7</v>
      </c>
      <c r="F13" s="63">
        <v>0.2</v>
      </c>
      <c r="G13" s="64">
        <v>0.1</v>
      </c>
      <c r="H13" s="64">
        <v>0.5</v>
      </c>
      <c r="I13" s="140">
        <v>0.5</v>
      </c>
      <c r="J13" s="22"/>
      <c r="K13" s="17"/>
      <c r="L13" s="18"/>
      <c r="P13" s="63" t="s">
        <v>107</v>
      </c>
    </row>
    <row r="14" spans="2:16" x14ac:dyDescent="0.25">
      <c r="B14" s="293" t="s">
        <v>99</v>
      </c>
      <c r="C14" s="71">
        <v>0.2</v>
      </c>
      <c r="D14" s="72">
        <v>0.1</v>
      </c>
      <c r="E14" s="135">
        <v>0.5</v>
      </c>
      <c r="F14" s="63">
        <v>0.2</v>
      </c>
      <c r="G14" s="64">
        <v>0.1</v>
      </c>
      <c r="H14" s="64">
        <v>0.5</v>
      </c>
      <c r="I14" s="140">
        <v>0.5</v>
      </c>
      <c r="J14" s="22"/>
      <c r="K14" s="17"/>
      <c r="L14" s="18"/>
      <c r="P14" s="63" t="s">
        <v>46</v>
      </c>
    </row>
    <row r="15" spans="2:16" x14ac:dyDescent="0.25">
      <c r="B15" s="293" t="s">
        <v>221</v>
      </c>
      <c r="C15" s="298">
        <v>0</v>
      </c>
      <c r="D15" s="299">
        <v>0</v>
      </c>
      <c r="E15" s="300">
        <v>0</v>
      </c>
      <c r="F15" s="296">
        <v>0</v>
      </c>
      <c r="G15" s="295">
        <v>0</v>
      </c>
      <c r="H15" s="295">
        <v>0</v>
      </c>
      <c r="I15" s="297">
        <v>0</v>
      </c>
      <c r="J15" s="22"/>
      <c r="K15" s="17"/>
      <c r="L15" s="18"/>
      <c r="P15" s="63" t="s">
        <v>108</v>
      </c>
    </row>
    <row r="16" spans="2:16" x14ac:dyDescent="0.25">
      <c r="B16" s="293" t="s">
        <v>226</v>
      </c>
      <c r="C16" s="298">
        <v>0</v>
      </c>
      <c r="D16" s="299">
        <v>0</v>
      </c>
      <c r="E16" s="300">
        <v>0</v>
      </c>
      <c r="F16" s="296">
        <v>0</v>
      </c>
      <c r="G16" s="295">
        <v>0</v>
      </c>
      <c r="H16" s="295">
        <v>0</v>
      </c>
      <c r="I16" s="297">
        <v>0.1</v>
      </c>
      <c r="J16" s="22"/>
      <c r="K16" s="17"/>
      <c r="L16" s="18"/>
      <c r="P16" s="67" t="s">
        <v>41</v>
      </c>
    </row>
    <row r="17" spans="2:16" x14ac:dyDescent="0.25">
      <c r="B17" s="293" t="s">
        <v>100</v>
      </c>
      <c r="C17" s="71">
        <v>0.2</v>
      </c>
      <c r="D17" s="72">
        <v>0.5</v>
      </c>
      <c r="E17" s="135">
        <v>0.5</v>
      </c>
      <c r="F17" s="63">
        <v>0.2</v>
      </c>
      <c r="G17" s="64">
        <v>0.1</v>
      </c>
      <c r="H17" s="64">
        <v>0.5</v>
      </c>
      <c r="I17" s="140">
        <v>1.3</v>
      </c>
      <c r="J17" s="22"/>
      <c r="K17" s="17"/>
      <c r="L17" s="18"/>
      <c r="P17" s="63" t="s">
        <v>109</v>
      </c>
    </row>
    <row r="18" spans="2:16" x14ac:dyDescent="0.25">
      <c r="B18" s="293" t="s">
        <v>102</v>
      </c>
      <c r="C18" s="71">
        <v>0.2</v>
      </c>
      <c r="D18" s="72">
        <v>0.1</v>
      </c>
      <c r="E18" s="135">
        <v>0.5</v>
      </c>
      <c r="F18" s="63">
        <v>0.2</v>
      </c>
      <c r="G18" s="64">
        <v>0.1</v>
      </c>
      <c r="H18" s="64">
        <v>0.5</v>
      </c>
      <c r="I18" s="140">
        <v>0.5</v>
      </c>
      <c r="J18" s="22"/>
      <c r="K18" s="17"/>
      <c r="L18" s="18"/>
      <c r="P18" s="63" t="s">
        <v>36</v>
      </c>
    </row>
    <row r="19" spans="2:16" x14ac:dyDescent="0.25">
      <c r="B19" s="293" t="s">
        <v>222</v>
      </c>
      <c r="C19" s="298">
        <v>0</v>
      </c>
      <c r="D19" s="299">
        <v>0</v>
      </c>
      <c r="E19" s="300">
        <v>0</v>
      </c>
      <c r="F19" s="296">
        <v>0</v>
      </c>
      <c r="G19" s="295">
        <v>0</v>
      </c>
      <c r="H19" s="295">
        <v>0</v>
      </c>
      <c r="I19" s="297">
        <v>0</v>
      </c>
      <c r="J19" s="22"/>
      <c r="K19" s="17"/>
      <c r="L19" s="18"/>
      <c r="P19" s="63" t="s">
        <v>33</v>
      </c>
    </row>
    <row r="20" spans="2:16" x14ac:dyDescent="0.25">
      <c r="B20" s="294" t="s">
        <v>101</v>
      </c>
      <c r="C20" s="81">
        <v>0.2</v>
      </c>
      <c r="D20" s="82">
        <v>0.1</v>
      </c>
      <c r="E20" s="136">
        <v>0.5</v>
      </c>
      <c r="F20" s="67">
        <v>0.2</v>
      </c>
      <c r="G20" s="68">
        <v>0.1</v>
      </c>
      <c r="H20" s="68">
        <v>0.5</v>
      </c>
      <c r="I20" s="191">
        <v>0.5</v>
      </c>
      <c r="J20" s="23"/>
      <c r="K20" s="19"/>
      <c r="L20" s="20"/>
      <c r="P20" s="63" t="s">
        <v>65</v>
      </c>
    </row>
    <row r="21" spans="2:16" x14ac:dyDescent="0.25">
      <c r="P21" s="63" t="s">
        <v>35</v>
      </c>
    </row>
    <row r="22" spans="2:16" x14ac:dyDescent="0.25">
      <c r="P22" s="63" t="s">
        <v>99</v>
      </c>
    </row>
    <row r="23" spans="2:16" x14ac:dyDescent="0.25">
      <c r="P23" s="63" t="s">
        <v>221</v>
      </c>
    </row>
    <row r="24" spans="2:16" x14ac:dyDescent="0.25">
      <c r="P24" s="63" t="s">
        <v>226</v>
      </c>
    </row>
    <row r="25" spans="2:16" x14ac:dyDescent="0.25">
      <c r="P25" s="63" t="s">
        <v>100</v>
      </c>
    </row>
    <row r="26" spans="2:16" x14ac:dyDescent="0.25">
      <c r="P26" s="63" t="s">
        <v>102</v>
      </c>
    </row>
    <row r="27" spans="2:16" x14ac:dyDescent="0.25">
      <c r="P27" s="63" t="s">
        <v>222</v>
      </c>
    </row>
    <row r="28" spans="2:16" x14ac:dyDescent="0.25">
      <c r="P28" s="67" t="s">
        <v>101</v>
      </c>
    </row>
  </sheetData>
  <mergeCells count="3">
    <mergeCell ref="C2:E2"/>
    <mergeCell ref="F2:I2"/>
    <mergeCell ref="J2:L2"/>
  </mergeCells>
  <pageMargins left="0.7" right="0.7" top="0.75" bottom="0.75" header="0.3" footer="0.3"/>
  <pageSetup paperSize="9" orientation="portrait" r:id="rId1"/>
  <ignoredErrors>
    <ignoredError sqref="C3:I3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6"/>
  <sheetViews>
    <sheetView zoomScale="140" zoomScaleNormal="140" workbookViewId="0">
      <selection activeCell="H22" sqref="H22"/>
    </sheetView>
  </sheetViews>
  <sheetFormatPr defaultRowHeight="15" x14ac:dyDescent="0.25"/>
  <cols>
    <col min="1" max="1" width="10.42578125" style="1" customWidth="1"/>
    <col min="2" max="2" width="9.7109375" style="1" bestFit="1" customWidth="1"/>
    <col min="3" max="3" width="5.42578125" style="1" bestFit="1" customWidth="1"/>
    <col min="4" max="15" width="10.5703125" style="1" customWidth="1"/>
    <col min="16" max="16" width="13.85546875" style="17" customWidth="1"/>
    <col min="17" max="16384" width="9.140625" style="1"/>
  </cols>
  <sheetData>
    <row r="1" spans="1:17" x14ac:dyDescent="0.25">
      <c r="B1"/>
      <c r="C1"/>
      <c r="D1"/>
      <c r="P1" s="1"/>
    </row>
    <row r="2" spans="1:17" x14ac:dyDescent="0.25">
      <c r="A2" s="17"/>
      <c r="B2" s="29">
        <v>1</v>
      </c>
      <c r="C2" s="29">
        <v>2</v>
      </c>
      <c r="D2" s="29">
        <v>3</v>
      </c>
      <c r="E2" s="17">
        <v>4</v>
      </c>
      <c r="F2" s="17">
        <v>5</v>
      </c>
      <c r="G2" s="17">
        <v>6</v>
      </c>
      <c r="H2" s="17">
        <v>7</v>
      </c>
      <c r="I2" s="17">
        <v>8</v>
      </c>
      <c r="J2" s="17">
        <v>9</v>
      </c>
      <c r="K2" s="17">
        <v>10</v>
      </c>
      <c r="L2" s="17">
        <v>11</v>
      </c>
      <c r="M2" s="17">
        <v>12</v>
      </c>
      <c r="N2" s="17">
        <v>13</v>
      </c>
      <c r="O2" s="17">
        <v>14</v>
      </c>
    </row>
    <row r="3" spans="1:17" x14ac:dyDescent="0.25">
      <c r="A3" s="17">
        <v>1</v>
      </c>
      <c r="B3" s="97" t="s">
        <v>103</v>
      </c>
      <c r="C3" s="111" t="s">
        <v>98</v>
      </c>
      <c r="D3" s="98" t="s">
        <v>84</v>
      </c>
      <c r="E3" s="98" t="s">
        <v>85</v>
      </c>
      <c r="F3" s="98" t="s">
        <v>86</v>
      </c>
      <c r="G3" s="98" t="s">
        <v>87</v>
      </c>
      <c r="H3" s="98" t="s">
        <v>88</v>
      </c>
      <c r="I3" s="98" t="s">
        <v>89</v>
      </c>
      <c r="J3" s="98" t="s">
        <v>90</v>
      </c>
      <c r="K3" s="98" t="s">
        <v>91</v>
      </c>
      <c r="L3" s="98" t="s">
        <v>92</v>
      </c>
      <c r="M3" s="98" t="s">
        <v>93</v>
      </c>
      <c r="N3" s="98" t="s">
        <v>94</v>
      </c>
      <c r="O3" s="99" t="s">
        <v>95</v>
      </c>
      <c r="Q3" s="17"/>
    </row>
    <row r="4" spans="1:17" x14ac:dyDescent="0.25">
      <c r="A4" s="17">
        <v>2</v>
      </c>
      <c r="B4" s="100" t="s">
        <v>52</v>
      </c>
      <c r="C4" s="96">
        <v>2013</v>
      </c>
      <c r="D4" s="108">
        <v>52.3</v>
      </c>
      <c r="E4" s="89">
        <v>41.8</v>
      </c>
      <c r="F4" s="89">
        <v>54.9</v>
      </c>
      <c r="G4" s="89">
        <v>43.6</v>
      </c>
      <c r="H4" s="89">
        <v>42.4</v>
      </c>
      <c r="I4" s="89">
        <v>41.2</v>
      </c>
      <c r="J4" s="89">
        <v>32.799999999999997</v>
      </c>
      <c r="K4" s="89">
        <v>44.1</v>
      </c>
      <c r="L4" s="89">
        <v>45.1</v>
      </c>
      <c r="M4" s="89">
        <v>60.8</v>
      </c>
      <c r="N4" s="89">
        <v>56.4</v>
      </c>
      <c r="O4" s="90">
        <v>44.6</v>
      </c>
      <c r="Q4" s="17"/>
    </row>
    <row r="5" spans="1:17" x14ac:dyDescent="0.25">
      <c r="A5" s="17">
        <v>3</v>
      </c>
      <c r="B5" s="101" t="s">
        <v>52</v>
      </c>
      <c r="C5" s="93">
        <v>2014</v>
      </c>
      <c r="D5" s="132">
        <v>47.4</v>
      </c>
      <c r="E5" s="91">
        <v>43.6</v>
      </c>
      <c r="F5" s="91">
        <v>38.6</v>
      </c>
      <c r="G5" s="91">
        <v>35.9</v>
      </c>
      <c r="H5" s="91">
        <v>33.200000000000003</v>
      </c>
      <c r="I5" s="91">
        <v>34.4</v>
      </c>
      <c r="J5" s="91">
        <v>33.5</v>
      </c>
      <c r="K5" s="91">
        <v>38.299999999999997</v>
      </c>
      <c r="L5" s="91">
        <v>48.4</v>
      </c>
      <c r="M5" s="91">
        <v>50.7</v>
      </c>
      <c r="N5" s="91">
        <v>49.4</v>
      </c>
      <c r="O5" s="92">
        <v>51.7</v>
      </c>
      <c r="Q5" s="17"/>
    </row>
    <row r="6" spans="1:17" x14ac:dyDescent="0.25">
      <c r="A6" s="17">
        <v>4</v>
      </c>
      <c r="B6" s="101" t="s">
        <v>52</v>
      </c>
      <c r="C6" s="102">
        <v>2015</v>
      </c>
      <c r="D6" s="132">
        <v>47.4</v>
      </c>
      <c r="E6" s="91">
        <v>43.6</v>
      </c>
      <c r="F6" s="91">
        <v>38.6</v>
      </c>
      <c r="G6" s="91">
        <v>35.9</v>
      </c>
      <c r="H6" s="91">
        <v>33.200000000000003</v>
      </c>
      <c r="I6" s="91">
        <v>34.4</v>
      </c>
      <c r="J6" s="91">
        <v>33.5</v>
      </c>
      <c r="K6" s="91">
        <v>38.299999999999997</v>
      </c>
      <c r="L6" s="91">
        <v>48.4</v>
      </c>
      <c r="M6" s="91">
        <v>50.7</v>
      </c>
      <c r="N6" s="91">
        <v>49.4</v>
      </c>
      <c r="O6" s="92">
        <v>51.7</v>
      </c>
      <c r="Q6" s="17"/>
    </row>
    <row r="7" spans="1:17" x14ac:dyDescent="0.25">
      <c r="A7" s="17">
        <v>5</v>
      </c>
      <c r="B7" s="101" t="s">
        <v>52</v>
      </c>
      <c r="C7" s="93">
        <v>2016</v>
      </c>
      <c r="D7" s="132">
        <v>44.183999999999997</v>
      </c>
      <c r="E7" s="91">
        <v>42.746000000000002</v>
      </c>
      <c r="F7" s="91">
        <v>43.683</v>
      </c>
      <c r="G7" s="91">
        <v>49.244</v>
      </c>
      <c r="H7" s="91">
        <v>40.404000000000003</v>
      </c>
      <c r="I7" s="91">
        <v>45.265999999999998</v>
      </c>
      <c r="J7" s="91">
        <v>40.44</v>
      </c>
      <c r="K7" s="91">
        <v>44.878</v>
      </c>
      <c r="L7" s="91">
        <v>55.929000000000002</v>
      </c>
      <c r="M7" s="91">
        <v>48.066000000000003</v>
      </c>
      <c r="N7" s="91">
        <v>56.878999999999998</v>
      </c>
      <c r="O7" s="92">
        <v>59.186</v>
      </c>
      <c r="Q7" s="17"/>
    </row>
    <row r="8" spans="1:17" x14ac:dyDescent="0.25">
      <c r="A8" s="17">
        <v>6</v>
      </c>
      <c r="B8" s="103" t="s">
        <v>52</v>
      </c>
      <c r="C8" s="104">
        <v>2017</v>
      </c>
      <c r="D8" s="133">
        <v>59.052</v>
      </c>
      <c r="E8" s="94">
        <v>57.091999999999999</v>
      </c>
      <c r="F8" s="94">
        <v>73.408000000000001</v>
      </c>
      <c r="G8" s="94">
        <v>53.834000000000003</v>
      </c>
      <c r="H8" s="94">
        <v>52.832999999999998</v>
      </c>
      <c r="I8" s="94">
        <v>51.314999999999998</v>
      </c>
      <c r="J8" s="94">
        <v>41.79</v>
      </c>
      <c r="K8" s="187">
        <v>48.368000000000002</v>
      </c>
      <c r="L8" s="187">
        <v>45.726999999999997</v>
      </c>
      <c r="M8" s="187">
        <v>51.456000000000003</v>
      </c>
      <c r="N8" s="187">
        <v>58.414999999999999</v>
      </c>
      <c r="O8" s="95"/>
      <c r="Q8" s="17"/>
    </row>
    <row r="9" spans="1:17" x14ac:dyDescent="0.25">
      <c r="A9" s="17">
        <v>7</v>
      </c>
      <c r="B9" s="100" t="s">
        <v>29</v>
      </c>
      <c r="C9" s="96">
        <v>2013</v>
      </c>
      <c r="D9" s="108">
        <v>111.6</v>
      </c>
      <c r="E9" s="89">
        <v>101.5</v>
      </c>
      <c r="F9" s="89">
        <v>120</v>
      </c>
      <c r="G9" s="89">
        <v>97.6</v>
      </c>
      <c r="H9" s="89">
        <v>124</v>
      </c>
      <c r="I9" s="89">
        <v>109.2</v>
      </c>
      <c r="J9" s="89">
        <v>110.5</v>
      </c>
      <c r="K9" s="89">
        <v>117</v>
      </c>
      <c r="L9" s="89">
        <v>107</v>
      </c>
      <c r="M9" s="89">
        <v>115.6</v>
      </c>
      <c r="N9" s="89">
        <v>115.7</v>
      </c>
      <c r="O9" s="90">
        <v>115.3</v>
      </c>
      <c r="Q9" s="17"/>
    </row>
    <row r="10" spans="1:17" x14ac:dyDescent="0.25">
      <c r="A10" s="17">
        <v>8</v>
      </c>
      <c r="B10" s="101" t="s">
        <v>29</v>
      </c>
      <c r="C10" s="93">
        <v>2014</v>
      </c>
      <c r="D10" s="132">
        <v>109.9</v>
      </c>
      <c r="E10" s="91">
        <v>100.3</v>
      </c>
      <c r="F10" s="91">
        <v>114.5</v>
      </c>
      <c r="G10" s="91">
        <v>111.7</v>
      </c>
      <c r="H10" s="91">
        <v>117.5</v>
      </c>
      <c r="I10" s="91">
        <v>125.9</v>
      </c>
      <c r="J10" s="91">
        <v>122.7</v>
      </c>
      <c r="K10" s="91">
        <v>111.7</v>
      </c>
      <c r="L10" s="91">
        <v>132.4</v>
      </c>
      <c r="M10" s="91">
        <v>126.6</v>
      </c>
      <c r="N10" s="91">
        <v>110.1</v>
      </c>
      <c r="O10" s="92">
        <v>137</v>
      </c>
      <c r="Q10" s="17"/>
    </row>
    <row r="11" spans="1:17" x14ac:dyDescent="0.25">
      <c r="A11" s="17">
        <v>9</v>
      </c>
      <c r="B11" s="101" t="s">
        <v>29</v>
      </c>
      <c r="C11" s="102">
        <v>2015</v>
      </c>
      <c r="D11" s="132">
        <v>109.9</v>
      </c>
      <c r="E11" s="91">
        <v>100.3</v>
      </c>
      <c r="F11" s="91">
        <v>114.5</v>
      </c>
      <c r="G11" s="91">
        <v>111.7</v>
      </c>
      <c r="H11" s="91">
        <v>117.5</v>
      </c>
      <c r="I11" s="91">
        <v>125.9</v>
      </c>
      <c r="J11" s="91">
        <v>122.7</v>
      </c>
      <c r="K11" s="91">
        <v>111.7</v>
      </c>
      <c r="L11" s="91">
        <v>132.4</v>
      </c>
      <c r="M11" s="91">
        <v>126.6</v>
      </c>
      <c r="N11" s="91">
        <v>110.1</v>
      </c>
      <c r="O11" s="92">
        <v>137</v>
      </c>
      <c r="Q11" s="17"/>
    </row>
    <row r="12" spans="1:17" x14ac:dyDescent="0.25">
      <c r="A12" s="17">
        <v>10</v>
      </c>
      <c r="B12" s="101" t="s">
        <v>29</v>
      </c>
      <c r="C12" s="93">
        <v>2016</v>
      </c>
      <c r="D12" s="109">
        <v>108.52800000000001</v>
      </c>
      <c r="E12" s="105">
        <v>111.431</v>
      </c>
      <c r="F12" s="105">
        <v>139.35</v>
      </c>
      <c r="G12" s="105">
        <v>119.212</v>
      </c>
      <c r="H12" s="105">
        <v>144.214</v>
      </c>
      <c r="I12" s="105">
        <v>136.12899999999999</v>
      </c>
      <c r="J12" s="105">
        <v>118.672</v>
      </c>
      <c r="K12" s="105">
        <v>129.38999999999999</v>
      </c>
      <c r="L12" s="105">
        <v>119.637</v>
      </c>
      <c r="M12" s="105">
        <v>132.78800000000001</v>
      </c>
      <c r="N12" s="105">
        <v>124.568</v>
      </c>
      <c r="O12" s="87">
        <v>141.636</v>
      </c>
    </row>
    <row r="13" spans="1:17" x14ac:dyDescent="0.25">
      <c r="A13" s="17">
        <v>11</v>
      </c>
      <c r="B13" s="103" t="s">
        <v>29</v>
      </c>
      <c r="C13" s="104">
        <v>2017</v>
      </c>
      <c r="D13" s="110">
        <v>118.16</v>
      </c>
      <c r="E13" s="106">
        <v>116.48</v>
      </c>
      <c r="F13" s="106">
        <v>139.142</v>
      </c>
      <c r="G13" s="106">
        <v>118.914</v>
      </c>
      <c r="H13" s="106">
        <v>141.10400000000001</v>
      </c>
      <c r="I13" s="106">
        <v>110.292</v>
      </c>
      <c r="J13" s="106">
        <v>117.633</v>
      </c>
      <c r="K13" s="189">
        <v>115.267</v>
      </c>
      <c r="L13" s="188">
        <v>127.26900000000001</v>
      </c>
      <c r="M13" s="188">
        <v>129.06800000000001</v>
      </c>
      <c r="N13" s="187">
        <v>145.19399999999999</v>
      </c>
      <c r="O13" s="88"/>
    </row>
    <row r="14" spans="1:17" x14ac:dyDescent="0.25">
      <c r="A14" s="17">
        <v>12</v>
      </c>
      <c r="B14" s="100" t="s">
        <v>41</v>
      </c>
      <c r="C14" s="96">
        <v>2013</v>
      </c>
      <c r="D14" s="107">
        <v>1242.2</v>
      </c>
      <c r="E14" s="107">
        <v>1218</v>
      </c>
      <c r="F14" s="107">
        <v>1214.5</v>
      </c>
      <c r="G14" s="107">
        <v>1040.4000000000001</v>
      </c>
      <c r="H14" s="107">
        <v>1152.3</v>
      </c>
      <c r="I14" s="107">
        <v>1110.7</v>
      </c>
      <c r="J14" s="107">
        <v>1130.2</v>
      </c>
      <c r="K14" s="107">
        <v>1224.5999999999999</v>
      </c>
      <c r="L14" s="107">
        <v>1139.5999999999999</v>
      </c>
      <c r="M14" s="107">
        <v>1334.8</v>
      </c>
      <c r="N14" s="107">
        <v>1295.9000000000001</v>
      </c>
      <c r="O14" s="86">
        <v>1084</v>
      </c>
    </row>
    <row r="15" spans="1:1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27" spans="1:1" x14ac:dyDescent="0.25">
      <c r="A27" s="1" t="s">
        <v>240</v>
      </c>
    </row>
    <row r="28" spans="1:1" x14ac:dyDescent="0.25">
      <c r="A28" s="1" t="s">
        <v>241</v>
      </c>
    </row>
    <row r="53" spans="14:16" x14ac:dyDescent="0.25">
      <c r="N53" s="17"/>
      <c r="P53" s="1"/>
    </row>
    <row r="54" spans="14:16" x14ac:dyDescent="0.25">
      <c r="N54" s="17"/>
      <c r="P54" s="1"/>
    </row>
    <row r="55" spans="14:16" x14ac:dyDescent="0.25">
      <c r="N55" s="17"/>
      <c r="P55" s="1"/>
    </row>
    <row r="56" spans="14:16" x14ac:dyDescent="0.25">
      <c r="N56" s="17"/>
      <c r="P56" s="1"/>
    </row>
    <row r="57" spans="14:16" x14ac:dyDescent="0.25">
      <c r="N57" s="17"/>
      <c r="P57" s="1"/>
    </row>
    <row r="58" spans="14:16" x14ac:dyDescent="0.25">
      <c r="N58" s="17"/>
      <c r="P58" s="1"/>
    </row>
    <row r="59" spans="14:16" x14ac:dyDescent="0.25">
      <c r="N59" s="17"/>
      <c r="P59" s="1"/>
    </row>
    <row r="60" spans="14:16" x14ac:dyDescent="0.25">
      <c r="N60" s="17"/>
      <c r="P60" s="1"/>
    </row>
    <row r="61" spans="14:16" x14ac:dyDescent="0.25">
      <c r="N61" s="17"/>
      <c r="P61" s="1"/>
    </row>
    <row r="62" spans="14:16" x14ac:dyDescent="0.25">
      <c r="N62" s="17"/>
      <c r="P62" s="1"/>
    </row>
    <row r="63" spans="14:16" x14ac:dyDescent="0.25">
      <c r="N63" s="17"/>
      <c r="P63" s="1"/>
    </row>
    <row r="64" spans="14:16" x14ac:dyDescent="0.25">
      <c r="N64" s="17"/>
      <c r="P64" s="1"/>
    </row>
    <row r="65" spans="14:16" x14ac:dyDescent="0.25">
      <c r="N65" s="17"/>
      <c r="P65" s="1"/>
    </row>
    <row r="66" spans="14:16" x14ac:dyDescent="0.25">
      <c r="N66" s="17"/>
      <c r="P66" s="1"/>
    </row>
    <row r="67" spans="14:16" x14ac:dyDescent="0.25">
      <c r="N67" s="17"/>
      <c r="P67" s="1"/>
    </row>
    <row r="68" spans="14:16" x14ac:dyDescent="0.25">
      <c r="N68" s="17"/>
      <c r="P68" s="1"/>
    </row>
    <row r="69" spans="14:16" x14ac:dyDescent="0.25">
      <c r="N69" s="17"/>
      <c r="P69" s="1"/>
    </row>
    <row r="70" spans="14:16" x14ac:dyDescent="0.25">
      <c r="N70" s="17"/>
      <c r="P70" s="1"/>
    </row>
    <row r="71" spans="14:16" x14ac:dyDescent="0.25">
      <c r="N71" s="17"/>
      <c r="P71" s="1"/>
    </row>
    <row r="72" spans="14:16" x14ac:dyDescent="0.25">
      <c r="N72" s="17"/>
      <c r="P72" s="1"/>
    </row>
    <row r="73" spans="14:16" x14ac:dyDescent="0.25">
      <c r="N73" s="17"/>
      <c r="P73" s="1"/>
    </row>
    <row r="74" spans="14:16" x14ac:dyDescent="0.25">
      <c r="N74" s="17"/>
      <c r="P74" s="1"/>
    </row>
    <row r="75" spans="14:16" x14ac:dyDescent="0.25">
      <c r="N75" s="17"/>
      <c r="P75" s="1"/>
    </row>
    <row r="76" spans="14:16" x14ac:dyDescent="0.25">
      <c r="N76" s="17"/>
      <c r="P76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topLeftCell="A46" workbookViewId="0">
      <selection activeCell="C50" sqref="C50:E67"/>
    </sheetView>
  </sheetViews>
  <sheetFormatPr defaultRowHeight="15" x14ac:dyDescent="0.25"/>
  <cols>
    <col min="1" max="1" width="9.7109375" customWidth="1"/>
    <col min="2" max="2" width="25.7109375" customWidth="1"/>
    <col min="3" max="5" width="18.5703125" customWidth="1"/>
    <col min="6" max="6" width="2" style="29" customWidth="1"/>
    <col min="7" max="7" width="25.7109375" customWidth="1"/>
    <col min="8" max="10" width="18.5703125" customWidth="1"/>
  </cols>
  <sheetData>
    <row r="1" spans="2:10" x14ac:dyDescent="0.25">
      <c r="B1" t="s">
        <v>163</v>
      </c>
      <c r="D1" t="s">
        <v>217</v>
      </c>
    </row>
    <row r="2" spans="2:10" x14ac:dyDescent="0.25">
      <c r="B2" t="s">
        <v>164</v>
      </c>
      <c r="D2" t="s">
        <v>105</v>
      </c>
    </row>
    <row r="5" spans="2:10" x14ac:dyDescent="0.25">
      <c r="B5" t="s">
        <v>154</v>
      </c>
    </row>
    <row r="7" spans="2:10" x14ac:dyDescent="0.25">
      <c r="B7" s="26" t="s">
        <v>130</v>
      </c>
      <c r="C7" s="209"/>
      <c r="D7" s="209"/>
      <c r="E7" s="210"/>
      <c r="G7" s="26" t="s">
        <v>131</v>
      </c>
      <c r="H7" s="209"/>
      <c r="I7" s="209"/>
      <c r="J7" s="210"/>
    </row>
    <row r="8" spans="2:10" ht="15" customHeight="1" x14ac:dyDescent="0.25">
      <c r="B8" s="195" t="s">
        <v>113</v>
      </c>
      <c r="C8" s="202" t="s">
        <v>157</v>
      </c>
      <c r="D8" s="202" t="s">
        <v>144</v>
      </c>
      <c r="E8" s="202" t="s">
        <v>162</v>
      </c>
      <c r="G8" s="237" t="s">
        <v>106</v>
      </c>
      <c r="H8" s="238" t="s">
        <v>136</v>
      </c>
      <c r="I8" s="239" t="s">
        <v>166</v>
      </c>
      <c r="J8" s="239" t="s">
        <v>165</v>
      </c>
    </row>
    <row r="9" spans="2:10" x14ac:dyDescent="0.25">
      <c r="B9" s="195" t="s">
        <v>114</v>
      </c>
      <c r="C9" s="203" t="s">
        <v>114</v>
      </c>
      <c r="D9" s="202" t="s">
        <v>158</v>
      </c>
      <c r="E9" s="202"/>
      <c r="G9" s="240" t="s">
        <v>169</v>
      </c>
      <c r="H9" s="241" t="s">
        <v>133</v>
      </c>
      <c r="I9" s="239"/>
      <c r="J9" s="239"/>
    </row>
    <row r="10" spans="2:10" x14ac:dyDescent="0.25">
      <c r="B10" s="195" t="s">
        <v>115</v>
      </c>
      <c r="C10" s="17"/>
      <c r="D10" s="200"/>
      <c r="E10" s="202"/>
      <c r="G10" s="240" t="s">
        <v>167</v>
      </c>
      <c r="H10" s="242"/>
      <c r="I10" s="243"/>
      <c r="J10" s="239"/>
    </row>
    <row r="11" spans="2:10" x14ac:dyDescent="0.25">
      <c r="B11" s="195" t="s">
        <v>116</v>
      </c>
      <c r="C11" s="17"/>
      <c r="D11" s="201"/>
      <c r="E11" s="202"/>
      <c r="G11" s="240" t="s">
        <v>168</v>
      </c>
      <c r="H11" s="242"/>
      <c r="I11" s="244"/>
      <c r="J11" s="239"/>
    </row>
    <row r="12" spans="2:10" x14ac:dyDescent="0.25">
      <c r="B12" s="195" t="s">
        <v>128</v>
      </c>
      <c r="C12" s="221" t="s">
        <v>97</v>
      </c>
      <c r="D12" s="17"/>
      <c r="E12" s="200"/>
      <c r="G12" s="240" t="s">
        <v>170</v>
      </c>
      <c r="H12" s="245" t="s">
        <v>174</v>
      </c>
      <c r="I12" s="242"/>
      <c r="J12" s="243"/>
    </row>
    <row r="13" spans="2:10" x14ac:dyDescent="0.25">
      <c r="B13" s="195" t="s">
        <v>156</v>
      </c>
      <c r="C13" s="222"/>
      <c r="D13" s="17"/>
      <c r="E13" s="201"/>
      <c r="G13" s="240" t="s">
        <v>171</v>
      </c>
      <c r="H13" s="246"/>
      <c r="I13" s="242"/>
      <c r="J13" s="244"/>
    </row>
    <row r="14" spans="2:10" x14ac:dyDescent="0.25">
      <c r="B14" s="220" t="s">
        <v>108</v>
      </c>
      <c r="C14" s="206" t="s">
        <v>159</v>
      </c>
      <c r="D14" s="29"/>
      <c r="E14" s="29"/>
      <c r="G14" s="237" t="s">
        <v>108</v>
      </c>
      <c r="H14" s="245" t="s">
        <v>173</v>
      </c>
      <c r="I14" s="247"/>
      <c r="J14" s="247"/>
    </row>
    <row r="15" spans="2:10" x14ac:dyDescent="0.25">
      <c r="B15" s="195" t="s">
        <v>160</v>
      </c>
      <c r="C15" s="207"/>
      <c r="D15" s="29"/>
      <c r="E15" s="29"/>
      <c r="G15" s="240" t="s">
        <v>175</v>
      </c>
      <c r="H15" s="248"/>
      <c r="I15" s="247"/>
      <c r="J15" s="247"/>
    </row>
    <row r="16" spans="2:10" x14ac:dyDescent="0.25">
      <c r="B16" s="195" t="s">
        <v>119</v>
      </c>
      <c r="C16" s="29"/>
      <c r="D16" s="29"/>
      <c r="E16" s="29"/>
      <c r="G16" s="240" t="s">
        <v>176</v>
      </c>
      <c r="H16" s="247"/>
      <c r="I16" s="247"/>
      <c r="J16" s="247"/>
    </row>
    <row r="17" spans="1:11" x14ac:dyDescent="0.25">
      <c r="B17" s="195" t="s">
        <v>120</v>
      </c>
      <c r="C17" s="29"/>
      <c r="D17" s="29"/>
      <c r="E17" s="29"/>
      <c r="G17" s="240" t="s">
        <v>172</v>
      </c>
      <c r="H17" s="247"/>
      <c r="I17" s="247"/>
      <c r="J17" s="247"/>
    </row>
    <row r="18" spans="1:11" x14ac:dyDescent="0.25">
      <c r="B18" s="220" t="s">
        <v>109</v>
      </c>
      <c r="C18" s="29"/>
      <c r="D18" s="29"/>
      <c r="E18" s="29"/>
      <c r="G18" s="240" t="s">
        <v>177</v>
      </c>
      <c r="H18" s="247"/>
      <c r="I18" s="247"/>
      <c r="J18" s="247"/>
    </row>
    <row r="19" spans="1:11" x14ac:dyDescent="0.25">
      <c r="B19" s="223" t="s">
        <v>33</v>
      </c>
      <c r="C19" s="206" t="s">
        <v>123</v>
      </c>
      <c r="D19" s="198" t="s">
        <v>146</v>
      </c>
      <c r="E19" s="29"/>
      <c r="G19" s="249" t="s">
        <v>178</v>
      </c>
      <c r="H19" s="250" t="s">
        <v>39</v>
      </c>
      <c r="I19" s="251" t="s">
        <v>155</v>
      </c>
      <c r="J19" s="247"/>
    </row>
    <row r="20" spans="1:11" x14ac:dyDescent="0.25">
      <c r="B20" s="223" t="s">
        <v>65</v>
      </c>
      <c r="C20" s="207"/>
      <c r="D20" s="213" t="s">
        <v>161</v>
      </c>
      <c r="E20" s="29"/>
      <c r="G20" s="249" t="s">
        <v>179</v>
      </c>
      <c r="H20" s="248"/>
      <c r="I20" s="252"/>
      <c r="J20" s="247"/>
    </row>
    <row r="21" spans="1:11" x14ac:dyDescent="0.25">
      <c r="B21" s="195" t="s">
        <v>122</v>
      </c>
      <c r="C21" s="205"/>
      <c r="D21" s="213"/>
      <c r="E21" s="29"/>
      <c r="G21" s="240" t="s">
        <v>181</v>
      </c>
      <c r="H21" s="253"/>
      <c r="I21" s="252"/>
      <c r="J21" s="247"/>
    </row>
    <row r="22" spans="1:11" x14ac:dyDescent="0.25">
      <c r="B22" s="195" t="s">
        <v>121</v>
      </c>
      <c r="C22" s="205"/>
      <c r="D22" s="213"/>
      <c r="E22" s="29"/>
      <c r="G22" s="240" t="s">
        <v>180</v>
      </c>
      <c r="H22" s="253"/>
      <c r="I22" s="252"/>
      <c r="J22" s="247"/>
    </row>
    <row r="23" spans="1:11" x14ac:dyDescent="0.25">
      <c r="B23" s="220" t="s">
        <v>99</v>
      </c>
      <c r="C23" s="216" t="s">
        <v>145</v>
      </c>
      <c r="D23" s="213"/>
      <c r="E23" s="29"/>
      <c r="G23" s="237" t="s">
        <v>99</v>
      </c>
      <c r="H23" s="254" t="s">
        <v>182</v>
      </c>
      <c r="I23" s="252"/>
      <c r="J23" s="247"/>
    </row>
    <row r="24" spans="1:11" x14ac:dyDescent="0.25">
      <c r="B24" s="220" t="s">
        <v>101</v>
      </c>
      <c r="C24" s="205" t="s">
        <v>161</v>
      </c>
      <c r="D24" s="213"/>
      <c r="E24" s="29"/>
      <c r="G24" s="237" t="s">
        <v>101</v>
      </c>
      <c r="H24" s="255"/>
      <c r="I24" s="252"/>
      <c r="J24" s="247"/>
    </row>
    <row r="25" spans="1:11" x14ac:dyDescent="0.25">
      <c r="B25" s="220" t="s">
        <v>102</v>
      </c>
      <c r="C25" s="217"/>
      <c r="D25" s="199"/>
      <c r="E25" s="29"/>
      <c r="G25" s="237" t="s">
        <v>102</v>
      </c>
      <c r="H25" s="256"/>
      <c r="I25" s="257"/>
      <c r="J25" s="247"/>
    </row>
    <row r="26" spans="1:11" x14ac:dyDescent="0.25">
      <c r="A26" s="29"/>
      <c r="B26" s="29"/>
      <c r="C26" s="29"/>
      <c r="D26" s="29"/>
      <c r="E26" s="29"/>
      <c r="G26" s="29"/>
      <c r="H26" s="29"/>
      <c r="I26" s="29"/>
      <c r="J26" s="29"/>
      <c r="K26" s="29"/>
    </row>
    <row r="27" spans="1:11" x14ac:dyDescent="0.25">
      <c r="B27" s="26" t="s">
        <v>142</v>
      </c>
      <c r="C27" s="209"/>
      <c r="D27" s="209"/>
      <c r="E27" s="210"/>
      <c r="G27" s="26" t="s">
        <v>143</v>
      </c>
      <c r="H27" s="209"/>
      <c r="I27" s="209"/>
      <c r="J27" s="210"/>
    </row>
    <row r="28" spans="1:11" x14ac:dyDescent="0.25">
      <c r="B28" s="220" t="s">
        <v>106</v>
      </c>
      <c r="C28" s="218" t="s">
        <v>136</v>
      </c>
      <c r="D28" s="202" t="s">
        <v>3</v>
      </c>
      <c r="E28" s="218" t="s">
        <v>96</v>
      </c>
      <c r="G28" s="220" t="s">
        <v>106</v>
      </c>
      <c r="H28" s="202" t="s">
        <v>148</v>
      </c>
      <c r="I28" s="202" t="s">
        <v>147</v>
      </c>
      <c r="J28" s="218" t="s">
        <v>96</v>
      </c>
    </row>
    <row r="29" spans="1:11" x14ac:dyDescent="0.25">
      <c r="B29" s="220" t="s">
        <v>53</v>
      </c>
      <c r="C29" s="219" t="s">
        <v>133</v>
      </c>
      <c r="D29" s="202"/>
      <c r="E29" s="218"/>
      <c r="G29" s="220" t="s">
        <v>53</v>
      </c>
      <c r="H29" s="203"/>
      <c r="I29" s="202"/>
      <c r="J29" s="218"/>
    </row>
    <row r="30" spans="1:11" x14ac:dyDescent="0.25">
      <c r="B30" s="220" t="s">
        <v>52</v>
      </c>
      <c r="C30" s="17"/>
      <c r="D30" s="200"/>
      <c r="E30" s="218"/>
      <c r="G30" s="195" t="s">
        <v>137</v>
      </c>
      <c r="H30" s="17"/>
      <c r="I30" s="200"/>
      <c r="J30" s="218"/>
    </row>
    <row r="31" spans="1:11" x14ac:dyDescent="0.25">
      <c r="B31" s="220" t="s">
        <v>29</v>
      </c>
      <c r="C31" s="17"/>
      <c r="D31" s="201"/>
      <c r="E31" s="218"/>
      <c r="G31" s="195" t="s">
        <v>138</v>
      </c>
      <c r="H31" s="17"/>
      <c r="I31" s="201"/>
      <c r="J31" s="218"/>
    </row>
    <row r="32" spans="1:11" x14ac:dyDescent="0.25">
      <c r="B32" s="220" t="s">
        <v>54</v>
      </c>
      <c r="C32" s="206" t="s">
        <v>2</v>
      </c>
      <c r="D32" s="17"/>
      <c r="E32" s="230"/>
      <c r="G32" s="195" t="s">
        <v>149</v>
      </c>
      <c r="H32" s="206" t="s">
        <v>2</v>
      </c>
      <c r="I32" s="17"/>
      <c r="J32" s="230"/>
    </row>
    <row r="33" spans="2:10" x14ac:dyDescent="0.25">
      <c r="B33" s="220" t="s">
        <v>107</v>
      </c>
      <c r="C33" s="207"/>
      <c r="D33" s="17"/>
      <c r="E33" s="231"/>
      <c r="G33" s="195" t="s">
        <v>150</v>
      </c>
      <c r="H33" s="207"/>
      <c r="I33" s="17"/>
      <c r="J33" s="231"/>
    </row>
    <row r="34" spans="2:10" x14ac:dyDescent="0.25">
      <c r="B34" s="195" t="s">
        <v>5</v>
      </c>
      <c r="C34" s="224" t="s">
        <v>47</v>
      </c>
      <c r="D34" s="29"/>
      <c r="E34" s="29"/>
      <c r="G34" s="235" t="s">
        <v>47</v>
      </c>
      <c r="H34" s="236" t="s">
        <v>47</v>
      </c>
      <c r="I34" s="29"/>
      <c r="J34" s="29"/>
    </row>
    <row r="35" spans="2:10" x14ac:dyDescent="0.25">
      <c r="B35" s="195" t="s">
        <v>4</v>
      </c>
      <c r="C35" s="225"/>
      <c r="D35" s="29"/>
      <c r="E35" s="29"/>
      <c r="G35" s="195" t="s">
        <v>151</v>
      </c>
      <c r="H35" s="225"/>
      <c r="I35" s="29"/>
      <c r="J35" s="29"/>
    </row>
    <row r="36" spans="2:10" x14ac:dyDescent="0.25">
      <c r="B36" s="195" t="s">
        <v>1</v>
      </c>
      <c r="C36" s="29"/>
      <c r="D36" s="29"/>
      <c r="E36" s="29"/>
      <c r="G36" s="195" t="s">
        <v>1</v>
      </c>
      <c r="H36" s="29"/>
      <c r="I36" s="29"/>
      <c r="J36" s="29"/>
    </row>
    <row r="37" spans="2:10" x14ac:dyDescent="0.25">
      <c r="B37" s="195" t="s">
        <v>6</v>
      </c>
      <c r="C37" s="29"/>
      <c r="D37" s="29"/>
      <c r="E37" s="29"/>
      <c r="G37" s="195" t="s">
        <v>6</v>
      </c>
      <c r="H37" s="29"/>
      <c r="I37" s="29"/>
      <c r="J37" s="29"/>
    </row>
    <row r="38" spans="2:10" x14ac:dyDescent="0.25">
      <c r="B38" s="195" t="s">
        <v>0</v>
      </c>
      <c r="C38" s="29"/>
      <c r="D38" s="29"/>
      <c r="E38" s="29"/>
      <c r="G38" s="195" t="s">
        <v>152</v>
      </c>
      <c r="H38" s="29"/>
      <c r="I38" s="29"/>
      <c r="J38" s="29"/>
    </row>
    <row r="39" spans="2:10" x14ac:dyDescent="0.25">
      <c r="B39" s="195" t="s">
        <v>33</v>
      </c>
      <c r="C39" s="224" t="s">
        <v>39</v>
      </c>
      <c r="D39" s="221" t="s">
        <v>155</v>
      </c>
      <c r="E39" s="29"/>
      <c r="G39" s="195" t="s">
        <v>33</v>
      </c>
      <c r="H39" s="224" t="s">
        <v>39</v>
      </c>
      <c r="I39" s="221" t="s">
        <v>155</v>
      </c>
      <c r="J39" s="29"/>
    </row>
    <row r="40" spans="2:10" x14ac:dyDescent="0.25">
      <c r="B40" s="195" t="s">
        <v>39</v>
      </c>
      <c r="C40" s="225"/>
      <c r="D40" s="226"/>
      <c r="E40" s="29"/>
      <c r="G40" s="195" t="s">
        <v>34</v>
      </c>
      <c r="H40" s="225"/>
      <c r="I40" s="226"/>
      <c r="J40" s="29"/>
    </row>
    <row r="41" spans="2:10" x14ac:dyDescent="0.25">
      <c r="B41" s="195" t="s">
        <v>35</v>
      </c>
      <c r="C41" s="205"/>
      <c r="D41" s="226"/>
      <c r="E41" s="29"/>
      <c r="G41" s="195" t="s">
        <v>35</v>
      </c>
      <c r="H41" s="205"/>
      <c r="I41" s="226"/>
      <c r="J41" s="29"/>
    </row>
    <row r="42" spans="2:10" x14ac:dyDescent="0.25">
      <c r="B42" s="195" t="s">
        <v>100</v>
      </c>
      <c r="C42" s="205"/>
      <c r="D42" s="226"/>
      <c r="E42" s="29"/>
      <c r="G42" s="195" t="s">
        <v>100</v>
      </c>
      <c r="H42" s="205"/>
      <c r="I42" s="226"/>
      <c r="J42" s="29"/>
    </row>
    <row r="43" spans="2:10" x14ac:dyDescent="0.25">
      <c r="B43" s="195" t="s">
        <v>99</v>
      </c>
      <c r="C43" s="227" t="s">
        <v>140</v>
      </c>
      <c r="D43" s="226"/>
      <c r="E43" s="29"/>
      <c r="G43" s="220" t="s">
        <v>99</v>
      </c>
      <c r="H43" s="216" t="s">
        <v>153</v>
      </c>
      <c r="I43" s="226"/>
      <c r="J43" s="29"/>
    </row>
    <row r="44" spans="2:10" x14ac:dyDescent="0.25">
      <c r="B44" s="195" t="s">
        <v>101</v>
      </c>
      <c r="C44" s="228" t="s">
        <v>141</v>
      </c>
      <c r="D44" s="226"/>
      <c r="E44" s="29"/>
      <c r="G44" s="220" t="s">
        <v>101</v>
      </c>
      <c r="H44" s="205"/>
      <c r="I44" s="226"/>
      <c r="J44" s="29"/>
    </row>
    <row r="45" spans="2:10" x14ac:dyDescent="0.25">
      <c r="B45" s="195" t="s">
        <v>102</v>
      </c>
      <c r="C45" s="229"/>
      <c r="D45" s="222"/>
      <c r="E45" s="29"/>
      <c r="G45" s="220" t="s">
        <v>102</v>
      </c>
      <c r="H45" s="217"/>
      <c r="I45" s="222"/>
      <c r="J45" s="29"/>
    </row>
    <row r="49" spans="2:10" x14ac:dyDescent="0.25">
      <c r="B49" s="26" t="s">
        <v>219</v>
      </c>
      <c r="C49" s="209"/>
      <c r="D49" s="209"/>
      <c r="E49" s="210"/>
      <c r="G49" s="26" t="s">
        <v>183</v>
      </c>
      <c r="H49" s="209"/>
      <c r="I49" s="209"/>
      <c r="J49" s="210"/>
    </row>
    <row r="50" spans="2:10" x14ac:dyDescent="0.25">
      <c r="B50" s="195" t="s">
        <v>106</v>
      </c>
      <c r="C50" s="202" t="s">
        <v>136</v>
      </c>
      <c r="D50" s="202" t="s">
        <v>139</v>
      </c>
      <c r="E50" s="202" t="s">
        <v>96</v>
      </c>
      <c r="G50" s="237" t="s">
        <v>106</v>
      </c>
      <c r="H50" s="238" t="s">
        <v>136</v>
      </c>
      <c r="I50" s="239" t="s">
        <v>166</v>
      </c>
      <c r="J50" s="239" t="s">
        <v>165</v>
      </c>
    </row>
    <row r="51" spans="2:10" x14ac:dyDescent="0.25">
      <c r="B51" s="195" t="s">
        <v>53</v>
      </c>
      <c r="C51" s="203" t="s">
        <v>133</v>
      </c>
      <c r="D51" s="202" t="s">
        <v>132</v>
      </c>
      <c r="E51" s="202"/>
      <c r="G51" s="240" t="s">
        <v>169</v>
      </c>
      <c r="H51" s="241" t="s">
        <v>133</v>
      </c>
      <c r="I51" s="239"/>
      <c r="J51" s="239"/>
    </row>
    <row r="52" spans="2:10" x14ac:dyDescent="0.25">
      <c r="B52" s="195" t="s">
        <v>52</v>
      </c>
      <c r="C52" s="17"/>
      <c r="D52" s="200"/>
      <c r="E52" s="202"/>
      <c r="G52" s="240" t="s">
        <v>167</v>
      </c>
      <c r="H52" s="242"/>
      <c r="I52" s="243"/>
      <c r="J52" s="239"/>
    </row>
    <row r="53" spans="2:10" x14ac:dyDescent="0.25">
      <c r="B53" s="195" t="s">
        <v>29</v>
      </c>
      <c r="C53" s="17"/>
      <c r="D53" s="201"/>
      <c r="E53" s="202"/>
      <c r="G53" s="240" t="s">
        <v>168</v>
      </c>
      <c r="H53" s="242"/>
      <c r="I53" s="244"/>
      <c r="J53" s="239"/>
    </row>
    <row r="54" spans="2:10" x14ac:dyDescent="0.25">
      <c r="B54" s="195" t="s">
        <v>54</v>
      </c>
      <c r="C54" s="232" t="s">
        <v>97</v>
      </c>
      <c r="D54" s="17"/>
      <c r="E54" s="200"/>
      <c r="G54" s="240" t="s">
        <v>170</v>
      </c>
      <c r="H54" s="245" t="s">
        <v>174</v>
      </c>
      <c r="I54" s="242"/>
      <c r="J54" s="243"/>
    </row>
    <row r="55" spans="2:10" x14ac:dyDescent="0.25">
      <c r="B55" s="195" t="s">
        <v>107</v>
      </c>
      <c r="C55" s="222"/>
      <c r="D55" s="17"/>
      <c r="E55" s="201"/>
      <c r="G55" s="240" t="s">
        <v>171</v>
      </c>
      <c r="H55" s="246"/>
      <c r="I55" s="242"/>
      <c r="J55" s="244"/>
    </row>
    <row r="56" spans="2:10" x14ac:dyDescent="0.25">
      <c r="B56" s="233" t="s">
        <v>108</v>
      </c>
      <c r="C56" s="206" t="s">
        <v>47</v>
      </c>
      <c r="D56" s="29"/>
      <c r="E56" s="29"/>
      <c r="G56" s="237" t="s">
        <v>108</v>
      </c>
      <c r="H56" s="245" t="s">
        <v>173</v>
      </c>
      <c r="I56" s="247"/>
      <c r="J56" s="247"/>
    </row>
    <row r="57" spans="2:10" x14ac:dyDescent="0.25">
      <c r="B57" s="195" t="s">
        <v>46</v>
      </c>
      <c r="C57" s="207"/>
      <c r="D57" s="29"/>
      <c r="E57" s="29"/>
      <c r="G57" s="240" t="s">
        <v>175</v>
      </c>
      <c r="H57" s="248"/>
      <c r="I57" s="247"/>
      <c r="J57" s="247"/>
    </row>
    <row r="58" spans="2:10" x14ac:dyDescent="0.25">
      <c r="B58" s="195" t="s">
        <v>36</v>
      </c>
      <c r="C58" s="29"/>
      <c r="D58" s="29"/>
      <c r="E58" s="29"/>
      <c r="G58" s="240" t="s">
        <v>176</v>
      </c>
      <c r="H58" s="247"/>
      <c r="I58" s="247"/>
      <c r="J58" s="247"/>
    </row>
    <row r="59" spans="2:10" x14ac:dyDescent="0.25">
      <c r="B59" s="195" t="s">
        <v>41</v>
      </c>
      <c r="C59" s="29"/>
      <c r="D59" s="29"/>
      <c r="E59" s="29"/>
      <c r="G59" s="240" t="s">
        <v>172</v>
      </c>
      <c r="H59" s="247"/>
      <c r="I59" s="247"/>
      <c r="J59" s="247"/>
    </row>
    <row r="60" spans="2:10" x14ac:dyDescent="0.25">
      <c r="B60" s="233" t="s">
        <v>109</v>
      </c>
      <c r="C60" s="29"/>
      <c r="D60" s="29"/>
      <c r="E60" s="29"/>
      <c r="G60" s="240" t="s">
        <v>177</v>
      </c>
      <c r="H60" s="247"/>
      <c r="I60" s="247"/>
      <c r="J60" s="247"/>
    </row>
    <row r="61" spans="2:10" x14ac:dyDescent="0.25">
      <c r="B61" s="234" t="s">
        <v>33</v>
      </c>
      <c r="C61" s="206" t="s">
        <v>39</v>
      </c>
      <c r="D61" s="198" t="s">
        <v>155</v>
      </c>
      <c r="E61" s="29"/>
      <c r="G61" s="249" t="s">
        <v>178</v>
      </c>
      <c r="H61" s="250" t="s">
        <v>39</v>
      </c>
      <c r="I61" s="251" t="s">
        <v>155</v>
      </c>
      <c r="J61" s="247"/>
    </row>
    <row r="62" spans="2:10" x14ac:dyDescent="0.25">
      <c r="B62" s="234" t="s">
        <v>65</v>
      </c>
      <c r="C62" s="207"/>
      <c r="D62" s="213"/>
      <c r="E62" s="29"/>
      <c r="G62" s="249" t="s">
        <v>179</v>
      </c>
      <c r="H62" s="248"/>
      <c r="I62" s="252"/>
      <c r="J62" s="247"/>
    </row>
    <row r="63" spans="2:10" x14ac:dyDescent="0.25">
      <c r="B63" s="195" t="s">
        <v>35</v>
      </c>
      <c r="C63" s="205"/>
      <c r="D63" s="213"/>
      <c r="E63" s="29"/>
      <c r="G63" s="240" t="s">
        <v>181</v>
      </c>
      <c r="H63" s="253"/>
      <c r="I63" s="252"/>
      <c r="J63" s="247"/>
    </row>
    <row r="64" spans="2:10" x14ac:dyDescent="0.25">
      <c r="B64" s="195" t="s">
        <v>100</v>
      </c>
      <c r="C64" s="205"/>
      <c r="D64" s="213"/>
      <c r="E64" s="29"/>
      <c r="G64" s="240" t="s">
        <v>180</v>
      </c>
      <c r="H64" s="253"/>
      <c r="I64" s="252"/>
      <c r="J64" s="247"/>
    </row>
    <row r="65" spans="2:10" x14ac:dyDescent="0.25">
      <c r="B65" s="233" t="s">
        <v>99</v>
      </c>
      <c r="C65" s="216" t="s">
        <v>140</v>
      </c>
      <c r="D65" s="213"/>
      <c r="E65" s="29"/>
      <c r="G65" s="237" t="s">
        <v>99</v>
      </c>
      <c r="H65" s="254" t="s">
        <v>182</v>
      </c>
      <c r="I65" s="252"/>
      <c r="J65" s="247"/>
    </row>
    <row r="66" spans="2:10" x14ac:dyDescent="0.25">
      <c r="B66" s="233" t="s">
        <v>101</v>
      </c>
      <c r="C66" s="205" t="s">
        <v>141</v>
      </c>
      <c r="D66" s="213"/>
      <c r="E66" s="29"/>
      <c r="G66" s="237" t="s">
        <v>101</v>
      </c>
      <c r="H66" s="255"/>
      <c r="I66" s="252"/>
      <c r="J66" s="247"/>
    </row>
    <row r="67" spans="2:10" x14ac:dyDescent="0.25">
      <c r="B67" s="233" t="s">
        <v>102</v>
      </c>
      <c r="C67" s="217"/>
      <c r="D67" s="199"/>
      <c r="E67" s="29"/>
      <c r="G67" s="237" t="s">
        <v>102</v>
      </c>
      <c r="H67" s="256"/>
      <c r="I67" s="257"/>
      <c r="J67" s="247"/>
    </row>
    <row r="70" spans="2:10" x14ac:dyDescent="0.25">
      <c r="B70" s="26" t="s">
        <v>219</v>
      </c>
      <c r="C70" s="209"/>
      <c r="D70" s="209"/>
      <c r="E70" s="210"/>
      <c r="G70" s="26" t="s">
        <v>131</v>
      </c>
      <c r="H70" s="209"/>
      <c r="I70" s="209"/>
      <c r="J70" s="210"/>
    </row>
    <row r="71" spans="2:10" x14ac:dyDescent="0.25">
      <c r="C71" s="202" t="s">
        <v>136</v>
      </c>
      <c r="D71" s="202" t="s">
        <v>139</v>
      </c>
      <c r="E71" s="202" t="s">
        <v>96</v>
      </c>
      <c r="G71" s="220" t="s">
        <v>106</v>
      </c>
      <c r="H71" s="218" t="s">
        <v>136</v>
      </c>
      <c r="I71" s="202" t="s">
        <v>185</v>
      </c>
      <c r="J71" s="202" t="s">
        <v>184</v>
      </c>
    </row>
    <row r="72" spans="2:10" x14ac:dyDescent="0.25">
      <c r="C72" s="203" t="s">
        <v>133</v>
      </c>
      <c r="D72" s="202" t="s">
        <v>132</v>
      </c>
      <c r="E72" s="202"/>
      <c r="G72" s="195" t="s">
        <v>188</v>
      </c>
      <c r="H72" s="219" t="s">
        <v>133</v>
      </c>
      <c r="I72" s="202"/>
      <c r="J72" s="202"/>
    </row>
    <row r="73" spans="2:10" x14ac:dyDescent="0.25">
      <c r="C73" s="17"/>
      <c r="D73" s="200"/>
      <c r="E73" s="202"/>
      <c r="G73" s="195" t="s">
        <v>186</v>
      </c>
      <c r="H73" s="17"/>
      <c r="I73" s="200"/>
      <c r="J73" s="202"/>
    </row>
    <row r="74" spans="2:10" x14ac:dyDescent="0.25">
      <c r="C74" s="17"/>
      <c r="D74" s="201"/>
      <c r="E74" s="202"/>
      <c r="G74" s="195" t="s">
        <v>187</v>
      </c>
      <c r="H74" s="17"/>
      <c r="I74" s="201"/>
      <c r="J74" s="202"/>
    </row>
    <row r="75" spans="2:10" x14ac:dyDescent="0.25">
      <c r="C75" s="232" t="s">
        <v>97</v>
      </c>
      <c r="D75" s="17"/>
      <c r="E75" s="200"/>
      <c r="G75" s="195" t="s">
        <v>189</v>
      </c>
      <c r="H75" s="198" t="s">
        <v>191</v>
      </c>
      <c r="I75" s="17"/>
      <c r="J75" s="200"/>
    </row>
    <row r="76" spans="2:10" x14ac:dyDescent="0.25">
      <c r="C76" s="222"/>
      <c r="D76" s="17"/>
      <c r="E76" s="201"/>
      <c r="G76" s="195" t="s">
        <v>190</v>
      </c>
      <c r="H76" s="199"/>
      <c r="I76" s="17"/>
      <c r="J76" s="201"/>
    </row>
    <row r="77" spans="2:10" x14ac:dyDescent="0.25">
      <c r="C77" s="206" t="s">
        <v>47</v>
      </c>
      <c r="D77" s="29"/>
      <c r="E77" s="29"/>
      <c r="G77" s="220" t="s">
        <v>108</v>
      </c>
      <c r="H77" s="198" t="s">
        <v>194</v>
      </c>
      <c r="I77" s="29"/>
      <c r="J77" s="29"/>
    </row>
    <row r="78" spans="2:10" x14ac:dyDescent="0.25">
      <c r="C78" s="207"/>
      <c r="D78" s="29"/>
      <c r="E78" s="29"/>
      <c r="G78" s="195" t="s">
        <v>195</v>
      </c>
      <c r="H78" s="225"/>
      <c r="I78" s="29"/>
      <c r="J78" s="29"/>
    </row>
    <row r="79" spans="2:10" x14ac:dyDescent="0.25">
      <c r="C79" s="29"/>
      <c r="D79" s="29"/>
      <c r="E79" s="29"/>
      <c r="G79" s="195" t="s">
        <v>196</v>
      </c>
      <c r="H79" s="29"/>
      <c r="I79" s="29"/>
      <c r="J79" s="29"/>
    </row>
    <row r="80" spans="2:10" x14ac:dyDescent="0.25">
      <c r="C80" s="29"/>
      <c r="D80" s="29"/>
      <c r="E80" s="29"/>
      <c r="G80" s="195" t="s">
        <v>193</v>
      </c>
      <c r="H80" s="29"/>
      <c r="I80" s="29"/>
      <c r="J80" s="29"/>
    </row>
    <row r="81" spans="2:10" x14ac:dyDescent="0.25">
      <c r="C81" s="29"/>
      <c r="D81" s="29"/>
      <c r="E81" s="29"/>
      <c r="G81" s="195" t="s">
        <v>197</v>
      </c>
      <c r="H81" s="29"/>
      <c r="I81" s="29"/>
      <c r="J81" s="29"/>
    </row>
    <row r="82" spans="2:10" x14ac:dyDescent="0.25">
      <c r="C82" s="206" t="s">
        <v>39</v>
      </c>
      <c r="D82" s="198" t="s">
        <v>155</v>
      </c>
      <c r="E82" s="29"/>
      <c r="G82" s="212" t="s">
        <v>198</v>
      </c>
      <c r="H82" s="224" t="s">
        <v>39</v>
      </c>
      <c r="I82" s="221" t="s">
        <v>155</v>
      </c>
      <c r="J82" s="29"/>
    </row>
    <row r="83" spans="2:10" x14ac:dyDescent="0.25">
      <c r="C83" s="207"/>
      <c r="D83" s="213"/>
      <c r="E83" s="29"/>
      <c r="G83" s="212" t="s">
        <v>199</v>
      </c>
      <c r="H83" s="225"/>
      <c r="I83" s="226"/>
      <c r="J83" s="29"/>
    </row>
    <row r="84" spans="2:10" x14ac:dyDescent="0.25">
      <c r="C84" s="205"/>
      <c r="D84" s="213"/>
      <c r="E84" s="29"/>
      <c r="G84" s="195" t="s">
        <v>201</v>
      </c>
      <c r="H84" s="205"/>
      <c r="I84" s="226"/>
      <c r="J84" s="29"/>
    </row>
    <row r="85" spans="2:10" x14ac:dyDescent="0.25">
      <c r="C85" s="205"/>
      <c r="D85" s="213"/>
      <c r="E85" s="29"/>
      <c r="G85" s="195" t="s">
        <v>200</v>
      </c>
      <c r="H85" s="205"/>
      <c r="I85" s="226"/>
      <c r="J85" s="29"/>
    </row>
    <row r="86" spans="2:10" x14ac:dyDescent="0.25">
      <c r="C86" s="206" t="s">
        <v>140</v>
      </c>
      <c r="D86" s="18"/>
      <c r="E86" s="29"/>
      <c r="G86" s="220" t="s">
        <v>99</v>
      </c>
      <c r="H86" s="214" t="s">
        <v>202</v>
      </c>
      <c r="I86" s="226"/>
      <c r="J86" s="29"/>
    </row>
    <row r="87" spans="2:10" x14ac:dyDescent="0.25">
      <c r="C87" s="258" t="s">
        <v>141</v>
      </c>
      <c r="D87" s="18"/>
      <c r="E87" s="29"/>
      <c r="G87" s="220" t="s">
        <v>101</v>
      </c>
      <c r="H87" s="215"/>
      <c r="I87" s="226"/>
      <c r="J87" s="29"/>
    </row>
    <row r="88" spans="2:10" x14ac:dyDescent="0.25">
      <c r="C88" s="258"/>
      <c r="D88" s="258"/>
      <c r="E88" s="29"/>
      <c r="G88" s="220" t="s">
        <v>102</v>
      </c>
      <c r="H88" s="204"/>
      <c r="I88" s="222"/>
      <c r="J88" s="29"/>
    </row>
    <row r="89" spans="2:10" x14ac:dyDescent="0.25">
      <c r="C89" s="213"/>
      <c r="D89" s="213"/>
      <c r="E89" s="29"/>
    </row>
    <row r="90" spans="2:10" x14ac:dyDescent="0.25">
      <c r="C90" s="199"/>
      <c r="D90" s="199"/>
      <c r="E90" s="29"/>
      <c r="G90" t="s">
        <v>184</v>
      </c>
      <c r="H90" t="s">
        <v>218</v>
      </c>
    </row>
    <row r="91" spans="2:10" x14ac:dyDescent="0.25">
      <c r="G91" t="s">
        <v>203</v>
      </c>
    </row>
    <row r="92" spans="2:10" x14ac:dyDescent="0.25">
      <c r="B92" s="120" t="s">
        <v>220</v>
      </c>
      <c r="G92" t="s">
        <v>204</v>
      </c>
    </row>
    <row r="93" spans="2:10" x14ac:dyDescent="0.25">
      <c r="G93" t="s">
        <v>205</v>
      </c>
    </row>
    <row r="94" spans="2:10" x14ac:dyDescent="0.25">
      <c r="G94" t="s">
        <v>206</v>
      </c>
    </row>
    <row r="95" spans="2:10" x14ac:dyDescent="0.25">
      <c r="G95" t="s">
        <v>192</v>
      </c>
    </row>
    <row r="96" spans="2:10" x14ac:dyDescent="0.25">
      <c r="G96" t="s">
        <v>207</v>
      </c>
    </row>
    <row r="97" spans="7:7" x14ac:dyDescent="0.25">
      <c r="G97" t="s">
        <v>208</v>
      </c>
    </row>
    <row r="98" spans="7:7" x14ac:dyDescent="0.25">
      <c r="G98" t="s">
        <v>209</v>
      </c>
    </row>
    <row r="99" spans="7:7" x14ac:dyDescent="0.25">
      <c r="G99" t="s">
        <v>210</v>
      </c>
    </row>
    <row r="100" spans="7:7" x14ac:dyDescent="0.25">
      <c r="G100" t="s">
        <v>195</v>
      </c>
    </row>
    <row r="101" spans="7:7" x14ac:dyDescent="0.25">
      <c r="G101" t="s">
        <v>211</v>
      </c>
    </row>
    <row r="102" spans="7:7" x14ac:dyDescent="0.25">
      <c r="G102" t="s">
        <v>212</v>
      </c>
    </row>
    <row r="103" spans="7:7" x14ac:dyDescent="0.25">
      <c r="G103" t="s">
        <v>213</v>
      </c>
    </row>
    <row r="104" spans="7:7" x14ac:dyDescent="0.25">
      <c r="G104" t="s">
        <v>214</v>
      </c>
    </row>
    <row r="105" spans="7:7" x14ac:dyDescent="0.25">
      <c r="G105" t="s">
        <v>215</v>
      </c>
    </row>
    <row r="106" spans="7:7" x14ac:dyDescent="0.25">
      <c r="G106" t="s">
        <v>216</v>
      </c>
    </row>
    <row r="107" spans="7:7" x14ac:dyDescent="0.25">
      <c r="G107" t="s">
        <v>202</v>
      </c>
    </row>
  </sheetData>
  <pageMargins left="0.7" right="0.7" top="0.75" bottom="0.75" header="0.3" footer="0.3"/>
  <pageSetup paperSize="9" orientation="portrait" r:id="rId1"/>
  <ignoredErrors>
    <ignoredError sqref="I50:J50 G51:G55 G57:G64 H65 H54 H56 G9:G13 I8:L26 H12 H14 H23 G15:G2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5"/>
  <sheetViews>
    <sheetView workbookViewId="0">
      <selection activeCell="O4" sqref="O4:R25"/>
    </sheetView>
  </sheetViews>
  <sheetFormatPr defaultRowHeight="15" x14ac:dyDescent="0.25"/>
  <cols>
    <col min="2" max="2" width="10.28515625" bestFit="1" customWidth="1"/>
    <col min="3" max="3" width="22.5703125" bestFit="1" customWidth="1"/>
    <col min="4" max="4" width="18.28515625" bestFit="1" customWidth="1"/>
    <col min="5" max="5" width="27.42578125" bestFit="1" customWidth="1"/>
    <col min="6" max="6" width="0.85546875" style="29" customWidth="1"/>
    <col min="7" max="7" width="14.140625" bestFit="1" customWidth="1"/>
    <col min="8" max="8" width="7.5703125" bestFit="1" customWidth="1"/>
    <col min="14" max="14" width="19.5703125" bestFit="1" customWidth="1"/>
    <col min="15" max="18" width="19.5703125" customWidth="1"/>
  </cols>
  <sheetData>
    <row r="1" spans="2:18" x14ac:dyDescent="0.25">
      <c r="C1" s="1"/>
      <c r="H1" s="29"/>
    </row>
    <row r="2" spans="2:18" x14ac:dyDescent="0.25">
      <c r="B2" s="29"/>
      <c r="C2" s="38" t="s">
        <v>42</v>
      </c>
      <c r="D2" s="38" t="s">
        <v>43</v>
      </c>
      <c r="E2" s="38" t="s">
        <v>44</v>
      </c>
      <c r="G2" s="29"/>
      <c r="H2" s="29"/>
    </row>
    <row r="3" spans="2:18" x14ac:dyDescent="0.25">
      <c r="B3" s="341" t="s">
        <v>49</v>
      </c>
      <c r="C3" s="40" t="s">
        <v>3</v>
      </c>
      <c r="D3" s="44" t="s">
        <v>53</v>
      </c>
      <c r="E3" s="44" t="s">
        <v>53</v>
      </c>
      <c r="G3" s="29"/>
      <c r="H3" s="29"/>
    </row>
    <row r="4" spans="2:18" x14ac:dyDescent="0.25">
      <c r="B4" s="342"/>
      <c r="C4" s="41" t="s">
        <v>3</v>
      </c>
      <c r="D4" s="45" t="s">
        <v>52</v>
      </c>
      <c r="E4" s="45" t="s">
        <v>52</v>
      </c>
      <c r="G4" s="29"/>
      <c r="H4" s="29"/>
      <c r="N4" s="266" t="s">
        <v>224</v>
      </c>
      <c r="O4" s="266" t="s">
        <v>225</v>
      </c>
      <c r="P4" s="196"/>
      <c r="Q4" s="272" t="s">
        <v>228</v>
      </c>
      <c r="R4" s="271"/>
    </row>
    <row r="5" spans="2:18" x14ac:dyDescent="0.25">
      <c r="B5" s="342"/>
      <c r="C5" s="41" t="s">
        <v>3</v>
      </c>
      <c r="D5" s="45" t="s">
        <v>29</v>
      </c>
      <c r="E5" s="45" t="s">
        <v>29</v>
      </c>
      <c r="G5" s="29"/>
      <c r="H5" s="29"/>
      <c r="N5" s="269" t="s">
        <v>227</v>
      </c>
      <c r="O5" s="260" t="s">
        <v>106</v>
      </c>
      <c r="P5" s="270" t="s">
        <v>136</v>
      </c>
      <c r="Q5" s="270" t="s">
        <v>139</v>
      </c>
      <c r="R5" s="270" t="s">
        <v>96</v>
      </c>
    </row>
    <row r="6" spans="2:18" ht="15" customHeight="1" x14ac:dyDescent="0.25">
      <c r="B6" s="342"/>
      <c r="C6" s="41" t="s">
        <v>2</v>
      </c>
      <c r="D6" s="47" t="s">
        <v>30</v>
      </c>
      <c r="E6" s="39" t="s">
        <v>54</v>
      </c>
      <c r="G6" s="29"/>
      <c r="H6" s="29"/>
      <c r="N6" s="262"/>
      <c r="O6" s="260" t="s">
        <v>53</v>
      </c>
      <c r="P6" s="201" t="s">
        <v>133</v>
      </c>
      <c r="Q6" s="200" t="s">
        <v>132</v>
      </c>
      <c r="R6" s="200"/>
    </row>
    <row r="7" spans="2:18" ht="15" customHeight="1" x14ac:dyDescent="0.25">
      <c r="B7" s="342"/>
      <c r="C7" s="41" t="s">
        <v>2</v>
      </c>
      <c r="D7" s="47" t="s">
        <v>55</v>
      </c>
      <c r="E7" s="45" t="s">
        <v>45</v>
      </c>
      <c r="G7" s="29"/>
      <c r="H7" s="29"/>
      <c r="N7" s="262"/>
      <c r="O7" s="260" t="s">
        <v>52</v>
      </c>
      <c r="P7" s="17"/>
      <c r="Q7" s="200"/>
      <c r="R7" s="200"/>
    </row>
    <row r="8" spans="2:18" x14ac:dyDescent="0.25">
      <c r="B8" s="342"/>
      <c r="C8" s="41" t="s">
        <v>0</v>
      </c>
      <c r="D8" s="35" t="s">
        <v>48</v>
      </c>
      <c r="E8" s="47" t="s">
        <v>37</v>
      </c>
      <c r="G8" s="29"/>
      <c r="H8" s="29"/>
      <c r="N8" s="263"/>
      <c r="O8" s="260" t="s">
        <v>29</v>
      </c>
      <c r="P8" s="17"/>
      <c r="Q8" s="201"/>
      <c r="R8" s="200"/>
    </row>
    <row r="9" spans="2:18" x14ac:dyDescent="0.25">
      <c r="B9" s="342"/>
      <c r="C9" s="41" t="s">
        <v>1</v>
      </c>
      <c r="D9" s="35" t="s">
        <v>48</v>
      </c>
      <c r="E9" s="47" t="s">
        <v>36</v>
      </c>
      <c r="G9" s="29"/>
      <c r="H9" s="29"/>
      <c r="N9" s="261" t="s">
        <v>97</v>
      </c>
      <c r="O9" s="260" t="s">
        <v>54</v>
      </c>
      <c r="P9" s="232" t="s">
        <v>97</v>
      </c>
      <c r="Q9" s="17"/>
      <c r="R9" s="200"/>
    </row>
    <row r="10" spans="2:18" x14ac:dyDescent="0.25">
      <c r="B10" s="342"/>
      <c r="C10" s="41" t="s">
        <v>4</v>
      </c>
      <c r="D10" s="35" t="s">
        <v>48</v>
      </c>
      <c r="E10" s="45" t="s">
        <v>46</v>
      </c>
      <c r="G10" s="29"/>
      <c r="H10" s="29"/>
      <c r="N10" s="263"/>
      <c r="O10" s="260" t="s">
        <v>107</v>
      </c>
      <c r="P10" s="222"/>
      <c r="Q10" s="17"/>
      <c r="R10" s="201"/>
    </row>
    <row r="11" spans="2:18" x14ac:dyDescent="0.25">
      <c r="B11" s="342"/>
      <c r="C11" s="41" t="s">
        <v>5</v>
      </c>
      <c r="D11" s="35" t="s">
        <v>48</v>
      </c>
      <c r="E11" s="45" t="s">
        <v>47</v>
      </c>
      <c r="G11" s="29"/>
      <c r="H11" s="29"/>
      <c r="N11" s="267" t="s">
        <v>108</v>
      </c>
      <c r="O11" s="267" t="s">
        <v>108</v>
      </c>
      <c r="P11" s="206" t="s">
        <v>47</v>
      </c>
      <c r="Q11" s="29"/>
      <c r="R11" s="29"/>
    </row>
    <row r="12" spans="2:18" x14ac:dyDescent="0.25">
      <c r="B12" s="343"/>
      <c r="C12" s="42" t="s">
        <v>6</v>
      </c>
      <c r="D12" s="37" t="s">
        <v>48</v>
      </c>
      <c r="E12" s="46" t="s">
        <v>41</v>
      </c>
      <c r="G12" s="29"/>
      <c r="H12" s="29"/>
      <c r="N12" s="264" t="s">
        <v>46</v>
      </c>
      <c r="O12" s="260" t="s">
        <v>46</v>
      </c>
      <c r="P12" s="207"/>
      <c r="Q12" s="29"/>
      <c r="R12" s="29"/>
    </row>
    <row r="13" spans="2:18" x14ac:dyDescent="0.25">
      <c r="B13" s="341" t="s">
        <v>50</v>
      </c>
      <c r="C13" s="40" t="s">
        <v>59</v>
      </c>
      <c r="D13" s="36" t="s">
        <v>48</v>
      </c>
      <c r="E13" s="48" t="s">
        <v>40</v>
      </c>
      <c r="G13" s="29"/>
      <c r="H13" s="29"/>
      <c r="N13" s="264" t="s">
        <v>36</v>
      </c>
      <c r="O13" s="260" t="s">
        <v>36</v>
      </c>
      <c r="P13" s="29"/>
      <c r="Q13" s="29"/>
      <c r="R13" s="29"/>
    </row>
    <row r="14" spans="2:18" x14ac:dyDescent="0.25">
      <c r="B14" s="342"/>
      <c r="C14" s="41" t="s">
        <v>35</v>
      </c>
      <c r="D14" s="35" t="s">
        <v>48</v>
      </c>
      <c r="E14" s="47" t="s">
        <v>35</v>
      </c>
      <c r="G14" s="29"/>
      <c r="H14" s="29"/>
      <c r="N14" s="264" t="s">
        <v>41</v>
      </c>
      <c r="O14" s="260" t="s">
        <v>41</v>
      </c>
      <c r="P14" s="29"/>
      <c r="Q14" s="29"/>
      <c r="R14" s="29"/>
    </row>
    <row r="15" spans="2:18" x14ac:dyDescent="0.25">
      <c r="B15" s="342"/>
      <c r="C15" s="41" t="s">
        <v>100</v>
      </c>
      <c r="D15" s="35" t="s">
        <v>48</v>
      </c>
      <c r="E15" s="35" t="s">
        <v>48</v>
      </c>
      <c r="G15" s="1" t="s">
        <v>56</v>
      </c>
      <c r="H15" s="29"/>
      <c r="N15" s="264" t="s">
        <v>109</v>
      </c>
      <c r="O15" s="267" t="s">
        <v>109</v>
      </c>
      <c r="P15" s="29"/>
      <c r="Q15" s="29"/>
      <c r="R15" s="29"/>
    </row>
    <row r="16" spans="2:18" x14ac:dyDescent="0.25">
      <c r="B16" s="342"/>
      <c r="C16" s="41" t="s">
        <v>39</v>
      </c>
      <c r="D16" s="35" t="s">
        <v>48</v>
      </c>
      <c r="E16" s="47" t="s">
        <v>34</v>
      </c>
      <c r="G16" s="50" t="s">
        <v>51</v>
      </c>
      <c r="H16" s="29"/>
      <c r="N16" s="264" t="s">
        <v>33</v>
      </c>
      <c r="O16" s="268" t="s">
        <v>33</v>
      </c>
      <c r="P16" s="206" t="s">
        <v>39</v>
      </c>
      <c r="Q16" s="198" t="s">
        <v>155</v>
      </c>
      <c r="R16" s="29"/>
    </row>
    <row r="17" spans="2:18" x14ac:dyDescent="0.25">
      <c r="B17" s="342"/>
      <c r="C17" s="41" t="s">
        <v>61</v>
      </c>
      <c r="D17" s="35" t="s">
        <v>48</v>
      </c>
      <c r="E17" s="47" t="s">
        <v>40</v>
      </c>
      <c r="G17" s="51" t="s">
        <v>57</v>
      </c>
      <c r="H17" s="29"/>
      <c r="N17" s="264" t="s">
        <v>65</v>
      </c>
      <c r="O17" s="268" t="s">
        <v>65</v>
      </c>
      <c r="P17" s="207"/>
      <c r="Q17" s="213"/>
      <c r="R17" s="29"/>
    </row>
    <row r="18" spans="2:18" x14ac:dyDescent="0.25">
      <c r="B18" s="342"/>
      <c r="C18" s="41" t="s">
        <v>33</v>
      </c>
      <c r="D18" s="35" t="s">
        <v>48</v>
      </c>
      <c r="E18" s="47" t="s">
        <v>33</v>
      </c>
      <c r="G18" s="52" t="s">
        <v>58</v>
      </c>
      <c r="H18" s="29"/>
      <c r="N18" s="264" t="s">
        <v>35</v>
      </c>
      <c r="O18" s="260" t="s">
        <v>35</v>
      </c>
      <c r="P18" s="205"/>
      <c r="Q18" s="213"/>
      <c r="R18" s="29"/>
    </row>
    <row r="19" spans="2:18" x14ac:dyDescent="0.25">
      <c r="B19" s="343"/>
      <c r="C19" s="259" t="s">
        <v>62</v>
      </c>
      <c r="D19" s="37" t="s">
        <v>48</v>
      </c>
      <c r="E19" s="49" t="s">
        <v>40</v>
      </c>
      <c r="G19" s="53" t="s">
        <v>69</v>
      </c>
      <c r="H19" s="29"/>
      <c r="N19" s="264" t="s">
        <v>100</v>
      </c>
      <c r="O19" s="260" t="s">
        <v>100</v>
      </c>
      <c r="P19" s="205"/>
      <c r="Q19" s="213"/>
      <c r="R19" s="29"/>
    </row>
    <row r="20" spans="2:18" x14ac:dyDescent="0.25">
      <c r="N20" s="264" t="s">
        <v>99</v>
      </c>
      <c r="O20" s="267" t="s">
        <v>99</v>
      </c>
      <c r="P20" s="206" t="s">
        <v>140</v>
      </c>
      <c r="Q20" s="18"/>
      <c r="R20" s="29"/>
    </row>
    <row r="21" spans="2:18" x14ac:dyDescent="0.25">
      <c r="N21" s="264" t="s">
        <v>221</v>
      </c>
      <c r="O21" s="267" t="s">
        <v>221</v>
      </c>
      <c r="P21" s="258" t="s">
        <v>141</v>
      </c>
      <c r="Q21" s="18"/>
      <c r="R21" s="29"/>
    </row>
    <row r="22" spans="2:18" x14ac:dyDescent="0.25">
      <c r="N22" s="260" t="s">
        <v>226</v>
      </c>
      <c r="O22" s="260" t="s">
        <v>226</v>
      </c>
      <c r="P22" s="258"/>
      <c r="Q22" s="213"/>
      <c r="R22" s="29"/>
    </row>
    <row r="23" spans="2:18" x14ac:dyDescent="0.25">
      <c r="C23" t="s">
        <v>223</v>
      </c>
      <c r="N23" s="265" t="s">
        <v>102</v>
      </c>
      <c r="O23" s="267" t="s">
        <v>102</v>
      </c>
      <c r="P23" s="213"/>
      <c r="Q23" s="18"/>
      <c r="R23" s="29"/>
    </row>
    <row r="24" spans="2:18" x14ac:dyDescent="0.25">
      <c r="C24" t="s">
        <v>78</v>
      </c>
      <c r="N24" s="264" t="s">
        <v>222</v>
      </c>
      <c r="O24" s="267" t="s">
        <v>222</v>
      </c>
      <c r="P24" s="213"/>
      <c r="Q24" s="18"/>
      <c r="R24" s="29"/>
    </row>
    <row r="25" spans="2:18" x14ac:dyDescent="0.25">
      <c r="N25" s="264" t="s">
        <v>101</v>
      </c>
      <c r="O25" s="267" t="s">
        <v>101</v>
      </c>
      <c r="P25" s="199"/>
      <c r="Q25" s="20"/>
      <c r="R25" s="29"/>
    </row>
  </sheetData>
  <mergeCells count="2">
    <mergeCell ref="B3:B12"/>
    <mergeCell ref="B13:B1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2"/>
  <sheetViews>
    <sheetView topLeftCell="A19" zoomScale="115" zoomScaleNormal="115" workbookViewId="0">
      <selection activeCell="J31" sqref="J31"/>
    </sheetView>
  </sheetViews>
  <sheetFormatPr defaultRowHeight="15" x14ac:dyDescent="0.25"/>
  <cols>
    <col min="1" max="1" width="9.140625" style="1"/>
    <col min="2" max="2" width="18.5703125" style="1" bestFit="1" customWidth="1"/>
    <col min="3" max="3" width="9.7109375" style="1" hidden="1" customWidth="1"/>
    <col min="4" max="10" width="9.140625" style="1"/>
    <col min="11" max="11" width="12.42578125" style="1" bestFit="1" customWidth="1"/>
    <col min="12" max="13" width="12.42578125" style="1" customWidth="1"/>
    <col min="14" max="14" width="12.85546875" style="1" customWidth="1"/>
    <col min="15" max="16384" width="9.140625" style="1"/>
  </cols>
  <sheetData>
    <row r="2" spans="2:13" x14ac:dyDescent="0.25">
      <c r="B2" s="64"/>
      <c r="C2" s="64"/>
      <c r="D2" s="348" t="s">
        <v>67</v>
      </c>
      <c r="E2" s="349"/>
      <c r="F2" s="350"/>
      <c r="G2" s="351" t="s">
        <v>68</v>
      </c>
      <c r="H2" s="352"/>
      <c r="I2" s="352"/>
      <c r="J2" s="353"/>
      <c r="K2" s="349" t="s">
        <v>13</v>
      </c>
      <c r="L2" s="349"/>
      <c r="M2" s="350"/>
    </row>
    <row r="3" spans="2:13" s="2" customFormat="1" x14ac:dyDescent="0.25">
      <c r="B3" s="26" t="s">
        <v>8</v>
      </c>
      <c r="C3" s="27"/>
      <c r="D3" s="128" t="s">
        <v>9</v>
      </c>
      <c r="E3" s="129" t="s">
        <v>10</v>
      </c>
      <c r="F3" s="129" t="s">
        <v>11</v>
      </c>
      <c r="G3" s="151" t="s">
        <v>9</v>
      </c>
      <c r="H3" s="131" t="s">
        <v>10</v>
      </c>
      <c r="I3" s="131" t="s">
        <v>11</v>
      </c>
      <c r="J3" s="152" t="s">
        <v>12</v>
      </c>
      <c r="K3" s="31" t="s">
        <v>32</v>
      </c>
      <c r="L3" s="31" t="s">
        <v>63</v>
      </c>
      <c r="M3" s="32" t="s">
        <v>64</v>
      </c>
    </row>
    <row r="4" spans="2:13" ht="15" customHeight="1" x14ac:dyDescent="0.25">
      <c r="B4" s="63" t="s">
        <v>27</v>
      </c>
      <c r="C4" s="60"/>
      <c r="D4" s="76">
        <v>6</v>
      </c>
      <c r="E4" s="77">
        <v>9</v>
      </c>
      <c r="F4" s="77">
        <v>13</v>
      </c>
      <c r="G4" s="63">
        <v>6</v>
      </c>
      <c r="H4" s="289">
        <v>13</v>
      </c>
      <c r="I4" s="137">
        <v>15</v>
      </c>
      <c r="J4" s="140">
        <v>82</v>
      </c>
      <c r="K4" s="79"/>
      <c r="L4" s="79"/>
      <c r="M4" s="80" t="s">
        <v>80</v>
      </c>
    </row>
    <row r="5" spans="2:13" x14ac:dyDescent="0.25">
      <c r="B5" s="63" t="s">
        <v>28</v>
      </c>
      <c r="C5" s="64"/>
      <c r="D5" s="71">
        <v>91</v>
      </c>
      <c r="E5" s="72">
        <v>88</v>
      </c>
      <c r="F5" s="72">
        <v>85</v>
      </c>
      <c r="G5" s="63">
        <v>91</v>
      </c>
      <c r="H5" s="289">
        <v>82</v>
      </c>
      <c r="I5" s="64">
        <v>83</v>
      </c>
      <c r="J5" s="140">
        <v>15</v>
      </c>
      <c r="K5" s="74"/>
      <c r="L5" s="74"/>
      <c r="M5" s="75" t="s">
        <v>80</v>
      </c>
    </row>
    <row r="6" spans="2:13" x14ac:dyDescent="0.25">
      <c r="B6" s="67" t="s">
        <v>29</v>
      </c>
      <c r="C6" s="68"/>
      <c r="D6" s="81">
        <v>3</v>
      </c>
      <c r="E6" s="82">
        <v>3</v>
      </c>
      <c r="F6" s="82">
        <v>2</v>
      </c>
      <c r="G6" s="63">
        <v>3</v>
      </c>
      <c r="H6" s="289">
        <v>5</v>
      </c>
      <c r="I6" s="64">
        <v>2</v>
      </c>
      <c r="J6" s="140">
        <v>3</v>
      </c>
      <c r="K6" s="84"/>
      <c r="L6" s="84"/>
      <c r="M6" s="85" t="s">
        <v>80</v>
      </c>
    </row>
    <row r="7" spans="2:13" x14ac:dyDescent="0.25">
      <c r="B7" s="63" t="s">
        <v>30</v>
      </c>
      <c r="C7" s="64"/>
      <c r="D7" s="157">
        <v>90.25</v>
      </c>
      <c r="E7" s="158">
        <v>90.25</v>
      </c>
      <c r="F7" s="158">
        <v>90.25</v>
      </c>
      <c r="G7" s="175">
        <v>90.25</v>
      </c>
      <c r="H7" s="176">
        <v>90.25</v>
      </c>
      <c r="I7" s="176">
        <v>90.25</v>
      </c>
      <c r="J7" s="177">
        <v>90.25</v>
      </c>
      <c r="K7" s="74"/>
      <c r="L7" s="74"/>
      <c r="M7" s="75"/>
    </row>
    <row r="8" spans="2:13" x14ac:dyDescent="0.25">
      <c r="B8" s="67" t="s">
        <v>31</v>
      </c>
      <c r="C8" s="68"/>
      <c r="D8" s="179">
        <v>9.75</v>
      </c>
      <c r="E8" s="180">
        <v>9.75</v>
      </c>
      <c r="F8" s="180">
        <v>9.75</v>
      </c>
      <c r="G8" s="159">
        <v>9.75</v>
      </c>
      <c r="H8" s="160">
        <v>9.75</v>
      </c>
      <c r="I8" s="160">
        <v>9.75</v>
      </c>
      <c r="J8" s="178">
        <v>10</v>
      </c>
      <c r="K8" s="84"/>
      <c r="L8" s="84"/>
      <c r="M8" s="85"/>
    </row>
    <row r="16" spans="2:13" x14ac:dyDescent="0.25">
      <c r="E16" s="1">
        <f>88*0.95</f>
        <v>83.6</v>
      </c>
      <c r="H16" s="1">
        <f>9*1.05</f>
        <v>9.4500000000000011</v>
      </c>
    </row>
    <row r="17" spans="2:13" x14ac:dyDescent="0.25">
      <c r="H17" s="1">
        <f>3*1.05</f>
        <v>3.1500000000000004</v>
      </c>
    </row>
    <row r="21" spans="2:13" x14ac:dyDescent="0.25">
      <c r="B21" s="64"/>
      <c r="C21" s="64"/>
      <c r="D21" s="348" t="s">
        <v>67</v>
      </c>
      <c r="E21" s="349"/>
      <c r="F21" s="350"/>
      <c r="G21" s="351" t="s">
        <v>68</v>
      </c>
      <c r="H21" s="352"/>
      <c r="I21" s="352"/>
      <c r="J21" s="353"/>
      <c r="K21" s="349" t="s">
        <v>13</v>
      </c>
      <c r="L21" s="349"/>
      <c r="M21" s="350"/>
    </row>
    <row r="22" spans="2:13" x14ac:dyDescent="0.25">
      <c r="B22" s="26" t="s">
        <v>8</v>
      </c>
      <c r="C22" s="27"/>
      <c r="D22" s="128" t="s">
        <v>9</v>
      </c>
      <c r="E22" s="129" t="s">
        <v>10</v>
      </c>
      <c r="F22" s="129" t="s">
        <v>11</v>
      </c>
      <c r="G22" s="151" t="s">
        <v>9</v>
      </c>
      <c r="H22" s="131" t="s">
        <v>10</v>
      </c>
      <c r="I22" s="131" t="s">
        <v>11</v>
      </c>
      <c r="J22" s="152" t="s">
        <v>12</v>
      </c>
      <c r="K22" s="31" t="s">
        <v>32</v>
      </c>
      <c r="L22" s="31" t="s">
        <v>63</v>
      </c>
      <c r="M22" s="32" t="s">
        <v>64</v>
      </c>
    </row>
    <row r="23" spans="2:13" x14ac:dyDescent="0.25">
      <c r="B23" s="63" t="s">
        <v>27</v>
      </c>
      <c r="C23" s="60"/>
      <c r="D23" s="76">
        <v>6</v>
      </c>
      <c r="E23" s="77">
        <v>9</v>
      </c>
      <c r="F23" s="77">
        <v>13</v>
      </c>
      <c r="G23" s="63">
        <v>6</v>
      </c>
      <c r="H23" s="120">
        <v>9</v>
      </c>
      <c r="I23" s="137">
        <v>15</v>
      </c>
      <c r="J23" s="140">
        <v>82</v>
      </c>
      <c r="K23" s="79"/>
      <c r="L23" s="79"/>
      <c r="M23" s="80"/>
    </row>
    <row r="24" spans="2:13" x14ac:dyDescent="0.25">
      <c r="B24" s="63" t="s">
        <v>28</v>
      </c>
      <c r="C24" s="64"/>
      <c r="D24" s="71">
        <v>91</v>
      </c>
      <c r="E24" s="72">
        <v>88</v>
      </c>
      <c r="F24" s="72">
        <v>85</v>
      </c>
      <c r="G24" s="63">
        <v>91</v>
      </c>
      <c r="H24" s="120">
        <v>87</v>
      </c>
      <c r="I24" s="64">
        <v>83</v>
      </c>
      <c r="J24" s="140">
        <v>15</v>
      </c>
      <c r="K24" s="74"/>
      <c r="L24" s="74"/>
      <c r="M24" s="75"/>
    </row>
    <row r="25" spans="2:13" x14ac:dyDescent="0.25">
      <c r="B25" s="67" t="s">
        <v>29</v>
      </c>
      <c r="C25" s="68"/>
      <c r="D25" s="81">
        <v>3</v>
      </c>
      <c r="E25" s="82">
        <v>3</v>
      </c>
      <c r="F25" s="82">
        <v>2</v>
      </c>
      <c r="G25" s="63">
        <v>3</v>
      </c>
      <c r="H25" s="120">
        <v>3</v>
      </c>
      <c r="I25" s="64">
        <v>2</v>
      </c>
      <c r="J25" s="290">
        <v>4</v>
      </c>
      <c r="K25" s="84"/>
      <c r="L25" s="84" t="s">
        <v>80</v>
      </c>
      <c r="M25" s="85"/>
    </row>
    <row r="26" spans="2:13" x14ac:dyDescent="0.25">
      <c r="B26" s="63" t="s">
        <v>30</v>
      </c>
      <c r="C26" s="64"/>
      <c r="D26" s="157">
        <v>90.25</v>
      </c>
      <c r="E26" s="158">
        <v>90.25</v>
      </c>
      <c r="F26" s="158">
        <v>90.25</v>
      </c>
      <c r="G26" s="175">
        <v>90.25</v>
      </c>
      <c r="H26" s="176">
        <v>90.25</v>
      </c>
      <c r="I26" s="176">
        <v>90.25</v>
      </c>
      <c r="J26" s="177">
        <v>90.25</v>
      </c>
      <c r="K26" s="74"/>
      <c r="L26" s="74"/>
      <c r="M26" s="75"/>
    </row>
    <row r="27" spans="2:13" x14ac:dyDescent="0.25">
      <c r="B27" s="67" t="s">
        <v>31</v>
      </c>
      <c r="C27" s="68"/>
      <c r="D27" s="179">
        <v>9.75</v>
      </c>
      <c r="E27" s="180">
        <v>9.75</v>
      </c>
      <c r="F27" s="180">
        <v>9.75</v>
      </c>
      <c r="G27" s="159">
        <v>9.75</v>
      </c>
      <c r="H27" s="160">
        <v>9.75</v>
      </c>
      <c r="I27" s="160">
        <v>9.75</v>
      </c>
      <c r="J27" s="178">
        <v>10</v>
      </c>
      <c r="K27" s="84"/>
      <c r="L27" s="84"/>
      <c r="M27" s="85"/>
    </row>
    <row r="29" spans="2:13" x14ac:dyDescent="0.25">
      <c r="C29"/>
    </row>
    <row r="30" spans="2:13" x14ac:dyDescent="0.25">
      <c r="C30"/>
      <c r="H30" s="1">
        <f>3*1.1</f>
        <v>3.3000000000000003</v>
      </c>
    </row>
    <row r="31" spans="2:13" x14ac:dyDescent="0.25">
      <c r="C31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2" spans="2:3" x14ac:dyDescent="0.25">
      <c r="B42"/>
      <c r="C42"/>
    </row>
  </sheetData>
  <mergeCells count="6">
    <mergeCell ref="D2:F2"/>
    <mergeCell ref="G2:J2"/>
    <mergeCell ref="K2:M2"/>
    <mergeCell ref="D21:F21"/>
    <mergeCell ref="G21:J21"/>
    <mergeCell ref="K21:M2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2"/>
  <sheetViews>
    <sheetView zoomScale="115" zoomScaleNormal="115" workbookViewId="0">
      <selection activeCell="B12" sqref="B12"/>
    </sheetView>
  </sheetViews>
  <sheetFormatPr defaultRowHeight="15" x14ac:dyDescent="0.25"/>
  <cols>
    <col min="1" max="1" width="9.140625" style="1"/>
    <col min="2" max="2" width="18.5703125" style="1" bestFit="1" customWidth="1"/>
    <col min="3" max="3" width="9.7109375" style="1" hidden="1" customWidth="1"/>
    <col min="4" max="10" width="9.140625" style="1"/>
    <col min="11" max="11" width="12.42578125" style="1" bestFit="1" customWidth="1"/>
    <col min="12" max="13" width="12.42578125" style="1" customWidth="1"/>
    <col min="14" max="14" width="12.85546875" style="1" customWidth="1"/>
    <col min="15" max="16384" width="9.140625" style="1"/>
  </cols>
  <sheetData>
    <row r="2" spans="2:13" x14ac:dyDescent="0.25">
      <c r="B2" s="64"/>
      <c r="C2" s="64"/>
      <c r="D2" s="348" t="s">
        <v>67</v>
      </c>
      <c r="E2" s="349"/>
      <c r="F2" s="350"/>
      <c r="G2" s="351" t="s">
        <v>68</v>
      </c>
      <c r="H2" s="352"/>
      <c r="I2" s="352"/>
      <c r="J2" s="353"/>
      <c r="K2" s="349" t="s">
        <v>13</v>
      </c>
      <c r="L2" s="349"/>
      <c r="M2" s="350"/>
    </row>
    <row r="3" spans="2:13" s="2" customFormat="1" x14ac:dyDescent="0.25">
      <c r="B3" s="26" t="s">
        <v>8</v>
      </c>
      <c r="C3" s="27"/>
      <c r="D3" s="128" t="s">
        <v>9</v>
      </c>
      <c r="E3" s="129" t="s">
        <v>10</v>
      </c>
      <c r="F3" s="129" t="s">
        <v>11</v>
      </c>
      <c r="G3" s="151" t="s">
        <v>9</v>
      </c>
      <c r="H3" s="131" t="s">
        <v>10</v>
      </c>
      <c r="I3" s="131" t="s">
        <v>11</v>
      </c>
      <c r="J3" s="152" t="s">
        <v>12</v>
      </c>
      <c r="K3" s="31" t="s">
        <v>32</v>
      </c>
      <c r="L3" s="31" t="s">
        <v>63</v>
      </c>
      <c r="M3" s="32" t="s">
        <v>64</v>
      </c>
    </row>
    <row r="4" spans="2:13" ht="15" customHeight="1" x14ac:dyDescent="0.25">
      <c r="B4" s="63" t="s">
        <v>27</v>
      </c>
      <c r="C4" s="60"/>
      <c r="D4" s="76">
        <v>6</v>
      </c>
      <c r="E4" s="77">
        <v>9</v>
      </c>
      <c r="F4" s="77">
        <v>13</v>
      </c>
      <c r="G4" s="63">
        <v>6</v>
      </c>
      <c r="H4" s="64">
        <v>9</v>
      </c>
      <c r="I4" s="137">
        <v>15</v>
      </c>
      <c r="J4" s="140">
        <v>82</v>
      </c>
      <c r="K4" s="79"/>
      <c r="L4" s="79" t="s">
        <v>80</v>
      </c>
      <c r="M4" s="80" t="s">
        <v>80</v>
      </c>
    </row>
    <row r="5" spans="2:13" x14ac:dyDescent="0.25">
      <c r="B5" s="63" t="s">
        <v>28</v>
      </c>
      <c r="C5" s="64"/>
      <c r="D5" s="71">
        <v>91</v>
      </c>
      <c r="E5" s="72">
        <v>88</v>
      </c>
      <c r="F5" s="72">
        <v>85</v>
      </c>
      <c r="G5" s="63">
        <v>91</v>
      </c>
      <c r="H5" s="64">
        <v>88</v>
      </c>
      <c r="I5" s="64">
        <v>83</v>
      </c>
      <c r="J5" s="140">
        <v>15</v>
      </c>
      <c r="K5" s="74"/>
      <c r="L5" s="74" t="s">
        <v>80</v>
      </c>
      <c r="M5" s="75" t="s">
        <v>80</v>
      </c>
    </row>
    <row r="6" spans="2:13" x14ac:dyDescent="0.25">
      <c r="B6" s="67" t="s">
        <v>29</v>
      </c>
      <c r="C6" s="68"/>
      <c r="D6" s="81">
        <v>3</v>
      </c>
      <c r="E6" s="82">
        <v>3</v>
      </c>
      <c r="F6" s="82">
        <v>2</v>
      </c>
      <c r="G6" s="63">
        <v>3</v>
      </c>
      <c r="H6" s="64">
        <v>3</v>
      </c>
      <c r="I6" s="64">
        <v>2</v>
      </c>
      <c r="J6" s="140">
        <v>3</v>
      </c>
      <c r="K6" s="84"/>
      <c r="L6" s="84"/>
      <c r="M6" s="85"/>
    </row>
    <row r="7" spans="2:13" x14ac:dyDescent="0.25">
      <c r="B7" s="63" t="s">
        <v>30</v>
      </c>
      <c r="C7" s="64"/>
      <c r="D7" s="157">
        <v>90.25</v>
      </c>
      <c r="E7" s="158">
        <v>90.25</v>
      </c>
      <c r="F7" s="158">
        <v>90.25</v>
      </c>
      <c r="G7" s="175">
        <v>90.25</v>
      </c>
      <c r="H7" s="176">
        <v>90.25</v>
      </c>
      <c r="I7" s="176">
        <v>90.25</v>
      </c>
      <c r="J7" s="177">
        <v>90.25</v>
      </c>
      <c r="K7" s="74" t="s">
        <v>80</v>
      </c>
      <c r="L7" s="74"/>
      <c r="M7" s="75"/>
    </row>
    <row r="8" spans="2:13" x14ac:dyDescent="0.25">
      <c r="B8" s="67" t="s">
        <v>31</v>
      </c>
      <c r="C8" s="68"/>
      <c r="D8" s="179">
        <v>9.75</v>
      </c>
      <c r="E8" s="180">
        <v>9.75</v>
      </c>
      <c r="F8" s="180">
        <v>9.75</v>
      </c>
      <c r="G8" s="159">
        <v>9.75</v>
      </c>
      <c r="H8" s="160">
        <v>9.75</v>
      </c>
      <c r="I8" s="160">
        <v>9.75</v>
      </c>
      <c r="J8" s="178">
        <v>5</v>
      </c>
      <c r="K8" s="84" t="s">
        <v>80</v>
      </c>
      <c r="L8" s="84"/>
      <c r="M8" s="85"/>
    </row>
    <row r="29" spans="3:3" x14ac:dyDescent="0.25">
      <c r="C29"/>
    </row>
    <row r="30" spans="3:3" x14ac:dyDescent="0.25">
      <c r="C30"/>
    </row>
    <row r="31" spans="3:3" x14ac:dyDescent="0.25">
      <c r="C31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2" spans="2:3" x14ac:dyDescent="0.25">
      <c r="B42"/>
      <c r="C42"/>
    </row>
  </sheetData>
  <mergeCells count="3">
    <mergeCell ref="D2:F2"/>
    <mergeCell ref="G2:J2"/>
    <mergeCell ref="K2:M2"/>
  </mergeCells>
  <pageMargins left="0.7" right="0.7" top="0.75" bottom="0.75" header="0.3" footer="0.3"/>
  <pageSetup paperSize="9" orientation="portrait" r:id="rId1"/>
  <ignoredErrors>
    <ignoredError sqref="D3:J3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zoomScale="85" zoomScaleNormal="85" workbookViewId="0">
      <selection activeCell="B4" sqref="B4:B23"/>
    </sheetView>
  </sheetViews>
  <sheetFormatPr defaultRowHeight="15" x14ac:dyDescent="0.25"/>
  <cols>
    <col min="1" max="1" width="9.140625" style="1"/>
    <col min="2" max="2" width="23.85546875" style="1" bestFit="1" customWidth="1"/>
    <col min="3" max="3" width="9.140625" style="1" customWidth="1"/>
    <col min="4" max="9" width="9.140625" style="1"/>
    <col min="10" max="12" width="12.85546875" style="1" customWidth="1"/>
    <col min="13" max="16384" width="9.140625" style="1"/>
  </cols>
  <sheetData>
    <row r="1" spans="1:15" x14ac:dyDescent="0.25">
      <c r="E1" s="273"/>
      <c r="F1" s="273"/>
      <c r="G1" s="273"/>
      <c r="H1" s="273"/>
      <c r="I1" s="273"/>
      <c r="J1" s="273"/>
      <c r="K1" s="273"/>
      <c r="L1" s="273"/>
    </row>
    <row r="2" spans="1:15" x14ac:dyDescent="0.25">
      <c r="B2" s="64"/>
      <c r="C2" s="348" t="s">
        <v>67</v>
      </c>
      <c r="D2" s="349"/>
      <c r="E2" s="350"/>
      <c r="F2" s="351" t="s">
        <v>68</v>
      </c>
      <c r="G2" s="352"/>
      <c r="H2" s="352"/>
      <c r="I2" s="353"/>
      <c r="J2" s="348" t="s">
        <v>13</v>
      </c>
      <c r="K2" s="349"/>
      <c r="L2" s="350"/>
      <c r="M2" s="17"/>
      <c r="N2" s="1">
        <v>1</v>
      </c>
      <c r="O2" s="1" t="s">
        <v>71</v>
      </c>
    </row>
    <row r="3" spans="1:15" x14ac:dyDescent="0.25">
      <c r="B3" s="26" t="s">
        <v>8</v>
      </c>
      <c r="C3" s="128" t="s">
        <v>9</v>
      </c>
      <c r="D3" s="129" t="s">
        <v>10</v>
      </c>
      <c r="E3" s="130" t="s">
        <v>11</v>
      </c>
      <c r="F3" s="151" t="s">
        <v>9</v>
      </c>
      <c r="G3" s="131" t="s">
        <v>10</v>
      </c>
      <c r="H3" s="131" t="s">
        <v>11</v>
      </c>
      <c r="I3" s="152" t="s">
        <v>12</v>
      </c>
      <c r="J3" s="31" t="s">
        <v>38</v>
      </c>
      <c r="K3" s="31" t="s">
        <v>233</v>
      </c>
      <c r="L3" s="32" t="s">
        <v>234</v>
      </c>
      <c r="M3" s="30"/>
      <c r="N3" s="1">
        <v>2</v>
      </c>
      <c r="O3" s="1" t="s">
        <v>72</v>
      </c>
    </row>
    <row r="4" spans="1:15" x14ac:dyDescent="0.25">
      <c r="B4" s="59" t="s">
        <v>27</v>
      </c>
      <c r="C4" s="141">
        <v>431.77</v>
      </c>
      <c r="D4" s="142">
        <v>448.71</v>
      </c>
      <c r="E4" s="143">
        <v>441.71</v>
      </c>
      <c r="F4" s="153">
        <v>431.77</v>
      </c>
      <c r="G4" s="154">
        <v>448.71</v>
      </c>
      <c r="H4" s="154">
        <v>441.71</v>
      </c>
      <c r="I4" s="174">
        <v>541.71</v>
      </c>
      <c r="J4" s="79" t="s">
        <v>80</v>
      </c>
      <c r="K4" s="79">
        <v>330</v>
      </c>
      <c r="L4" s="80">
        <v>475</v>
      </c>
      <c r="M4" s="17"/>
      <c r="N4" s="1">
        <v>3</v>
      </c>
      <c r="O4" s="1" t="s">
        <v>73</v>
      </c>
    </row>
    <row r="5" spans="1:15" x14ac:dyDescent="0.25">
      <c r="A5" s="273"/>
      <c r="B5" s="63" t="s">
        <v>28</v>
      </c>
      <c r="C5" s="144">
        <v>297.23</v>
      </c>
      <c r="D5" s="145">
        <v>296.94</v>
      </c>
      <c r="E5" s="146">
        <v>300.66000000000003</v>
      </c>
      <c r="F5" s="155">
        <v>297.23</v>
      </c>
      <c r="G5" s="156">
        <v>296.94</v>
      </c>
      <c r="H5" s="156">
        <v>300.66000000000003</v>
      </c>
      <c r="I5" s="173">
        <v>302.61</v>
      </c>
      <c r="J5" s="74"/>
      <c r="K5" s="74">
        <v>285</v>
      </c>
      <c r="L5" s="75">
        <v>315</v>
      </c>
      <c r="M5" s="17"/>
    </row>
    <row r="6" spans="1:15" x14ac:dyDescent="0.25">
      <c r="A6" s="273"/>
      <c r="B6" s="63" t="s">
        <v>29</v>
      </c>
      <c r="C6" s="144">
        <v>226.09</v>
      </c>
      <c r="D6" s="145">
        <v>221.48</v>
      </c>
      <c r="E6" s="146">
        <v>220.79</v>
      </c>
      <c r="F6" s="155">
        <v>226.09</v>
      </c>
      <c r="G6" s="275">
        <v>180</v>
      </c>
      <c r="H6" s="156">
        <v>220.79</v>
      </c>
      <c r="I6" s="186">
        <v>180</v>
      </c>
      <c r="J6" s="74" t="s">
        <v>80</v>
      </c>
      <c r="K6" s="74">
        <v>190</v>
      </c>
      <c r="L6" s="75">
        <v>250</v>
      </c>
      <c r="M6" s="17"/>
    </row>
    <row r="7" spans="1:15" x14ac:dyDescent="0.25">
      <c r="A7" s="273"/>
      <c r="B7" s="63" t="s">
        <v>54</v>
      </c>
      <c r="C7" s="144">
        <v>154.93</v>
      </c>
      <c r="D7" s="145">
        <v>153.731283674943</v>
      </c>
      <c r="E7" s="146">
        <v>151.38267728443284</v>
      </c>
      <c r="F7" s="155">
        <v>154.93</v>
      </c>
      <c r="G7" s="275">
        <v>50</v>
      </c>
      <c r="H7" s="156">
        <v>151.38267728443284</v>
      </c>
      <c r="I7" s="173">
        <v>152.38267728443299</v>
      </c>
      <c r="J7" s="74" t="s">
        <v>80</v>
      </c>
      <c r="K7" s="74">
        <v>135</v>
      </c>
      <c r="L7" s="75">
        <v>160</v>
      </c>
      <c r="M7" s="17"/>
    </row>
    <row r="8" spans="1:15" x14ac:dyDescent="0.25">
      <c r="B8" s="63" t="s">
        <v>107</v>
      </c>
      <c r="C8" s="144">
        <v>202.08</v>
      </c>
      <c r="D8" s="145">
        <v>198.84</v>
      </c>
      <c r="E8" s="146">
        <v>200.12</v>
      </c>
      <c r="F8" s="155">
        <v>202.08</v>
      </c>
      <c r="G8" s="156">
        <v>198.84</v>
      </c>
      <c r="H8" s="156">
        <v>200.12</v>
      </c>
      <c r="I8" s="173">
        <v>201.12</v>
      </c>
      <c r="J8" s="74"/>
      <c r="K8" s="74">
        <v>180</v>
      </c>
      <c r="L8" s="75">
        <v>205</v>
      </c>
      <c r="M8" s="17"/>
    </row>
    <row r="9" spans="1:15" x14ac:dyDescent="0.25">
      <c r="B9" s="63" t="s">
        <v>46</v>
      </c>
      <c r="C9" s="144">
        <v>20.03</v>
      </c>
      <c r="D9" s="145">
        <v>19.52</v>
      </c>
      <c r="E9" s="146">
        <v>20.57</v>
      </c>
      <c r="F9" s="155">
        <v>20.03</v>
      </c>
      <c r="G9" s="156">
        <v>19.52</v>
      </c>
      <c r="H9" s="156">
        <v>20.57</v>
      </c>
      <c r="I9" s="173"/>
      <c r="J9" s="74" t="s">
        <v>80</v>
      </c>
      <c r="K9" s="74">
        <v>18</v>
      </c>
      <c r="L9" s="75">
        <v>23</v>
      </c>
      <c r="M9" s="17"/>
    </row>
    <row r="10" spans="1:15" x14ac:dyDescent="0.25">
      <c r="B10" s="63" t="s">
        <v>108</v>
      </c>
      <c r="C10" s="144">
        <v>30</v>
      </c>
      <c r="D10" s="145">
        <v>30</v>
      </c>
      <c r="E10" s="146">
        <v>30</v>
      </c>
      <c r="F10" s="63">
        <v>30</v>
      </c>
      <c r="G10" s="64">
        <v>30</v>
      </c>
      <c r="H10" s="64">
        <v>30</v>
      </c>
      <c r="I10" s="140">
        <v>30</v>
      </c>
      <c r="J10" s="74"/>
      <c r="K10" s="74">
        <v>25</v>
      </c>
      <c r="L10" s="75">
        <v>35</v>
      </c>
      <c r="M10" s="17"/>
    </row>
    <row r="11" spans="1:15" x14ac:dyDescent="0.25">
      <c r="A11" s="273"/>
      <c r="B11" s="67" t="s">
        <v>41</v>
      </c>
      <c r="C11" s="147">
        <v>96.2</v>
      </c>
      <c r="D11" s="148">
        <v>96.1</v>
      </c>
      <c r="E11" s="149">
        <v>96.6</v>
      </c>
      <c r="F11" s="155">
        <v>95.6</v>
      </c>
      <c r="G11" s="156">
        <v>96.2</v>
      </c>
      <c r="H11" s="156">
        <v>96.1</v>
      </c>
      <c r="I11" s="173">
        <v>96.6</v>
      </c>
      <c r="J11" s="84"/>
      <c r="K11" s="84">
        <v>90</v>
      </c>
      <c r="L11" s="85">
        <v>100</v>
      </c>
      <c r="M11" s="17"/>
    </row>
    <row r="12" spans="1:15" x14ac:dyDescent="0.25">
      <c r="A12" s="273"/>
      <c r="B12" s="63" t="s">
        <v>109</v>
      </c>
      <c r="C12" s="157">
        <v>225</v>
      </c>
      <c r="D12" s="158">
        <v>225</v>
      </c>
      <c r="E12" s="158">
        <v>225</v>
      </c>
      <c r="F12" s="169">
        <v>225</v>
      </c>
      <c r="G12" s="170">
        <v>225</v>
      </c>
      <c r="H12" s="170">
        <v>225</v>
      </c>
      <c r="I12" s="165">
        <v>225</v>
      </c>
      <c r="J12" s="74"/>
      <c r="K12" s="74">
        <v>170</v>
      </c>
      <c r="L12" s="75">
        <v>340</v>
      </c>
      <c r="M12" s="17"/>
      <c r="O12" s="1">
        <f t="shared" ref="O12:O23" si="0">SUM(K12:L12)/2</f>
        <v>255</v>
      </c>
    </row>
    <row r="13" spans="1:15" x14ac:dyDescent="0.25">
      <c r="A13" s="273"/>
      <c r="B13" s="63" t="s">
        <v>36</v>
      </c>
      <c r="C13" s="157">
        <v>13</v>
      </c>
      <c r="D13" s="158">
        <v>13</v>
      </c>
      <c r="E13" s="158">
        <v>13</v>
      </c>
      <c r="F13" s="161">
        <v>13</v>
      </c>
      <c r="G13" s="162">
        <v>13</v>
      </c>
      <c r="H13" s="162">
        <v>13</v>
      </c>
      <c r="I13" s="164">
        <v>13</v>
      </c>
      <c r="J13" s="74"/>
      <c r="K13" s="74">
        <v>12</v>
      </c>
      <c r="L13" s="75">
        <v>14</v>
      </c>
      <c r="M13" s="17"/>
      <c r="O13" s="1">
        <f t="shared" si="0"/>
        <v>13</v>
      </c>
    </row>
    <row r="14" spans="1:15" x14ac:dyDescent="0.25">
      <c r="B14" s="63" t="s">
        <v>33</v>
      </c>
      <c r="C14" s="167">
        <v>1.65</v>
      </c>
      <c r="D14" s="168">
        <v>1.65</v>
      </c>
      <c r="E14" s="168">
        <v>1.65</v>
      </c>
      <c r="F14" s="161">
        <v>1.65</v>
      </c>
      <c r="G14" s="162">
        <v>1.65</v>
      </c>
      <c r="H14" s="162">
        <v>1.65</v>
      </c>
      <c r="I14" s="164">
        <v>1.65</v>
      </c>
      <c r="J14" s="74"/>
      <c r="K14" s="74">
        <v>1.5</v>
      </c>
      <c r="L14" s="75">
        <v>2</v>
      </c>
      <c r="M14" s="17"/>
      <c r="O14" s="1">
        <f t="shared" si="0"/>
        <v>1.75</v>
      </c>
    </row>
    <row r="15" spans="1:15" x14ac:dyDescent="0.25">
      <c r="B15" s="63" t="s">
        <v>65</v>
      </c>
      <c r="C15" s="167">
        <v>2.15</v>
      </c>
      <c r="D15" s="168">
        <v>2.15</v>
      </c>
      <c r="E15" s="168">
        <v>2.15</v>
      </c>
      <c r="F15" s="161">
        <v>2.15</v>
      </c>
      <c r="G15" s="162">
        <v>2.15</v>
      </c>
      <c r="H15" s="162">
        <v>2.15</v>
      </c>
      <c r="I15" s="164">
        <v>2.15</v>
      </c>
      <c r="J15" s="74"/>
      <c r="K15" s="74">
        <v>1.9</v>
      </c>
      <c r="L15" s="75">
        <v>2.5</v>
      </c>
      <c r="M15" s="17"/>
      <c r="O15" s="1">
        <f t="shared" si="0"/>
        <v>2.2000000000000002</v>
      </c>
    </row>
    <row r="16" spans="1:15" x14ac:dyDescent="0.25">
      <c r="B16" s="63" t="s">
        <v>35</v>
      </c>
      <c r="C16" s="167">
        <v>2.1</v>
      </c>
      <c r="D16" s="168">
        <v>2.1</v>
      </c>
      <c r="E16" s="168">
        <v>2.1</v>
      </c>
      <c r="F16" s="161">
        <v>2.1</v>
      </c>
      <c r="G16" s="162">
        <v>2.1</v>
      </c>
      <c r="H16" s="162">
        <v>2.1</v>
      </c>
      <c r="I16" s="164">
        <v>2.1</v>
      </c>
      <c r="J16" s="74"/>
      <c r="K16" s="74">
        <v>1.8</v>
      </c>
      <c r="L16" s="75">
        <v>2.5</v>
      </c>
      <c r="M16" s="17"/>
      <c r="O16" s="1">
        <f t="shared" si="0"/>
        <v>2.15</v>
      </c>
    </row>
    <row r="17" spans="1:15" x14ac:dyDescent="0.25">
      <c r="B17" s="63" t="s">
        <v>99</v>
      </c>
      <c r="C17" s="167">
        <v>0.4</v>
      </c>
      <c r="D17" s="168">
        <v>0.4</v>
      </c>
      <c r="E17" s="168">
        <v>0.4</v>
      </c>
      <c r="F17" s="161">
        <v>0.4</v>
      </c>
      <c r="G17" s="162">
        <v>0.4</v>
      </c>
      <c r="H17" s="162">
        <v>0.4</v>
      </c>
      <c r="I17" s="164">
        <v>0.4</v>
      </c>
      <c r="J17" s="74"/>
      <c r="K17" s="74">
        <v>0.3</v>
      </c>
      <c r="L17" s="75">
        <v>0.5</v>
      </c>
      <c r="M17" s="17"/>
      <c r="O17" s="1">
        <f t="shared" si="0"/>
        <v>0.4</v>
      </c>
    </row>
    <row r="18" spans="1:15" x14ac:dyDescent="0.25">
      <c r="B18" s="63" t="s">
        <v>221</v>
      </c>
      <c r="C18" s="167">
        <v>0.8</v>
      </c>
      <c r="D18" s="168">
        <v>0.8</v>
      </c>
      <c r="E18" s="168">
        <v>0.8</v>
      </c>
      <c r="F18" s="161">
        <v>0.8</v>
      </c>
      <c r="G18" s="162">
        <v>0.8</v>
      </c>
      <c r="H18" s="162">
        <v>0.8</v>
      </c>
      <c r="I18" s="164">
        <v>0.8</v>
      </c>
      <c r="J18" s="74"/>
      <c r="K18" s="74">
        <v>0.6</v>
      </c>
      <c r="L18" s="291">
        <v>1</v>
      </c>
      <c r="M18" s="17"/>
      <c r="O18" s="273">
        <f t="shared" si="0"/>
        <v>0.8</v>
      </c>
    </row>
    <row r="19" spans="1:15" x14ac:dyDescent="0.25">
      <c r="B19" s="63" t="s">
        <v>226</v>
      </c>
      <c r="C19" s="167">
        <v>4</v>
      </c>
      <c r="D19" s="168">
        <v>4</v>
      </c>
      <c r="E19" s="168">
        <v>4</v>
      </c>
      <c r="F19" s="161">
        <v>4</v>
      </c>
      <c r="G19" s="162">
        <v>4</v>
      </c>
      <c r="H19" s="162">
        <v>4</v>
      </c>
      <c r="I19" s="164">
        <v>4</v>
      </c>
      <c r="J19" s="74"/>
      <c r="K19" s="74">
        <v>3.5</v>
      </c>
      <c r="L19" s="291">
        <v>12</v>
      </c>
      <c r="M19" s="17"/>
      <c r="O19" s="273">
        <f t="shared" si="0"/>
        <v>7.75</v>
      </c>
    </row>
    <row r="20" spans="1:15" x14ac:dyDescent="0.25">
      <c r="B20" s="63" t="s">
        <v>100</v>
      </c>
      <c r="C20" s="167">
        <v>9</v>
      </c>
      <c r="D20" s="168">
        <v>9</v>
      </c>
      <c r="E20" s="168">
        <v>9</v>
      </c>
      <c r="F20" s="161">
        <v>9</v>
      </c>
      <c r="G20" s="162">
        <v>9</v>
      </c>
      <c r="H20" s="162">
        <v>9</v>
      </c>
      <c r="I20" s="164">
        <v>9</v>
      </c>
      <c r="J20" s="74"/>
      <c r="K20" s="74">
        <v>3</v>
      </c>
      <c r="L20" s="75">
        <v>15</v>
      </c>
      <c r="M20" s="17"/>
      <c r="O20" s="1">
        <f t="shared" si="0"/>
        <v>9</v>
      </c>
    </row>
    <row r="21" spans="1:15" x14ac:dyDescent="0.25">
      <c r="B21" s="63" t="s">
        <v>102</v>
      </c>
      <c r="C21" s="167">
        <v>1.3</v>
      </c>
      <c r="D21" s="168">
        <v>1.3</v>
      </c>
      <c r="E21" s="168">
        <v>1.3</v>
      </c>
      <c r="F21" s="161">
        <v>1.3</v>
      </c>
      <c r="G21" s="162">
        <v>1.3</v>
      </c>
      <c r="H21" s="162">
        <v>1.3</v>
      </c>
      <c r="I21" s="164">
        <v>1.3</v>
      </c>
      <c r="J21" s="74"/>
      <c r="K21" s="274">
        <v>1</v>
      </c>
      <c r="L21" s="75">
        <v>1.5</v>
      </c>
      <c r="M21" s="17"/>
      <c r="O21" s="1">
        <f t="shared" si="0"/>
        <v>1.25</v>
      </c>
    </row>
    <row r="22" spans="1:15" x14ac:dyDescent="0.25">
      <c r="B22" s="63" t="s">
        <v>222</v>
      </c>
      <c r="C22" s="167">
        <v>0.3</v>
      </c>
      <c r="D22" s="168">
        <v>0.3</v>
      </c>
      <c r="E22" s="168">
        <v>0.4</v>
      </c>
      <c r="F22" s="161">
        <v>0.3</v>
      </c>
      <c r="G22" s="162">
        <v>0.3</v>
      </c>
      <c r="H22" s="162">
        <v>0.4</v>
      </c>
      <c r="I22" s="164">
        <v>0.4</v>
      </c>
      <c r="J22" s="74"/>
      <c r="K22" s="274">
        <v>0.3</v>
      </c>
      <c r="L22" s="75">
        <v>0.5</v>
      </c>
      <c r="M22" s="17"/>
      <c r="O22" s="273">
        <f t="shared" si="0"/>
        <v>0.4</v>
      </c>
    </row>
    <row r="23" spans="1:15" x14ac:dyDescent="0.25">
      <c r="A23" s="273"/>
      <c r="B23" s="67" t="s">
        <v>101</v>
      </c>
      <c r="C23" s="179">
        <v>130</v>
      </c>
      <c r="D23" s="180">
        <v>130</v>
      </c>
      <c r="E23" s="180">
        <v>130</v>
      </c>
      <c r="F23" s="171">
        <v>130</v>
      </c>
      <c r="G23" s="172">
        <v>130</v>
      </c>
      <c r="H23" s="172">
        <v>130</v>
      </c>
      <c r="I23" s="166">
        <v>130</v>
      </c>
      <c r="J23" s="84"/>
      <c r="K23" s="84">
        <v>100</v>
      </c>
      <c r="L23" s="85">
        <v>160</v>
      </c>
      <c r="M23" s="17"/>
      <c r="O23" s="1">
        <f t="shared" si="0"/>
        <v>130</v>
      </c>
    </row>
  </sheetData>
  <mergeCells count="3">
    <mergeCell ref="C2:E2"/>
    <mergeCell ref="F2:I2"/>
    <mergeCell ref="J2:L2"/>
  </mergeCells>
  <pageMargins left="0.7" right="0.7" top="0.75" bottom="0.75" header="0.3" footer="0.3"/>
  <pageSetup paperSize="9" orientation="portrait" r:id="rId1"/>
  <ignoredErrors>
    <ignoredError sqref="C3:I3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549"/>
  <sheetViews>
    <sheetView zoomScale="115" zoomScaleNormal="115" workbookViewId="0">
      <pane ySplit="3" topLeftCell="A4" activePane="bottomLeft" state="frozen"/>
      <selection pane="bottomLeft" activeCell="K12" sqref="K12"/>
    </sheetView>
  </sheetViews>
  <sheetFormatPr defaultRowHeight="15" x14ac:dyDescent="0.25"/>
  <cols>
    <col min="1" max="1" width="9.140625" style="1"/>
    <col min="2" max="2" width="22.28515625" style="1" bestFit="1" customWidth="1"/>
    <col min="3" max="3" width="9.7109375" style="1" customWidth="1"/>
    <col min="4" max="4" width="22.5703125" style="1" bestFit="1" customWidth="1"/>
    <col min="5" max="11" width="9.140625" style="1"/>
    <col min="12" max="14" width="12.85546875" style="1" customWidth="1"/>
    <col min="15" max="15" width="1.42578125" style="17" customWidth="1"/>
    <col min="16" max="16" width="13.85546875" style="1" customWidth="1"/>
    <col min="17" max="16384" width="9.140625" style="1"/>
  </cols>
  <sheetData>
    <row r="2" spans="2:16" x14ac:dyDescent="0.25">
      <c r="B2" s="64"/>
      <c r="C2" s="64"/>
      <c r="D2" s="64"/>
      <c r="E2" s="348" t="s">
        <v>67</v>
      </c>
      <c r="F2" s="349"/>
      <c r="G2" s="350"/>
      <c r="H2" s="348" t="s">
        <v>68</v>
      </c>
      <c r="I2" s="349"/>
      <c r="J2" s="349"/>
      <c r="K2" s="350"/>
      <c r="L2" s="348" t="s">
        <v>13</v>
      </c>
      <c r="M2" s="349"/>
      <c r="N2" s="350"/>
      <c r="O2" s="64"/>
      <c r="P2" s="64"/>
    </row>
    <row r="3" spans="2:16" s="2" customFormat="1" x14ac:dyDescent="0.25">
      <c r="B3" s="54" t="s">
        <v>7</v>
      </c>
      <c r="C3" s="55" t="s">
        <v>16</v>
      </c>
      <c r="D3" s="55" t="s">
        <v>8</v>
      </c>
      <c r="E3" s="124" t="s">
        <v>9</v>
      </c>
      <c r="F3" s="125" t="s">
        <v>10</v>
      </c>
      <c r="G3" s="126" t="s">
        <v>11</v>
      </c>
      <c r="H3" s="54" t="s">
        <v>9</v>
      </c>
      <c r="I3" s="127" t="s">
        <v>10</v>
      </c>
      <c r="J3" s="127" t="s">
        <v>11</v>
      </c>
      <c r="K3" s="139" t="s">
        <v>12</v>
      </c>
      <c r="L3" s="56" t="s">
        <v>7</v>
      </c>
      <c r="M3" s="57" t="s">
        <v>63</v>
      </c>
      <c r="N3" s="58" t="s">
        <v>242</v>
      </c>
      <c r="O3" s="30"/>
      <c r="P3" s="33"/>
    </row>
    <row r="4" spans="2:16" s="2" customFormat="1" x14ac:dyDescent="0.25">
      <c r="B4" s="59" t="s">
        <v>82</v>
      </c>
      <c r="C4" s="112">
        <v>1234567</v>
      </c>
      <c r="D4" s="60" t="s">
        <v>3</v>
      </c>
      <c r="E4" s="116">
        <v>100</v>
      </c>
      <c r="F4" s="117">
        <v>105</v>
      </c>
      <c r="G4" s="183">
        <v>105</v>
      </c>
      <c r="H4" s="59">
        <v>100</v>
      </c>
      <c r="I4" s="34">
        <v>100</v>
      </c>
      <c r="J4" s="34">
        <v>105</v>
      </c>
      <c r="K4" s="150">
        <v>105</v>
      </c>
      <c r="L4" s="61"/>
      <c r="M4" s="62"/>
      <c r="N4" s="305">
        <v>420</v>
      </c>
      <c r="O4" s="30"/>
      <c r="P4" s="354" t="s">
        <v>83</v>
      </c>
    </row>
    <row r="5" spans="2:16" s="2" customFormat="1" x14ac:dyDescent="0.25">
      <c r="B5" s="63" t="s">
        <v>82</v>
      </c>
      <c r="C5" s="113">
        <v>1234567</v>
      </c>
      <c r="D5" s="64" t="s">
        <v>1</v>
      </c>
      <c r="E5" s="118">
        <v>25</v>
      </c>
      <c r="F5" s="119">
        <v>20</v>
      </c>
      <c r="G5" s="184">
        <v>25</v>
      </c>
      <c r="H5" s="63">
        <v>20</v>
      </c>
      <c r="I5" s="120">
        <v>25</v>
      </c>
      <c r="J5" s="120">
        <v>20</v>
      </c>
      <c r="K5" s="138">
        <v>25</v>
      </c>
      <c r="L5" s="65"/>
      <c r="M5" s="66"/>
      <c r="N5" s="306">
        <v>420</v>
      </c>
      <c r="O5" s="30"/>
      <c r="P5" s="358"/>
    </row>
    <row r="6" spans="2:16" s="2" customFormat="1" x14ac:dyDescent="0.25">
      <c r="B6" s="67" t="s">
        <v>82</v>
      </c>
      <c r="C6" s="114">
        <v>1234567</v>
      </c>
      <c r="D6" s="68" t="s">
        <v>6</v>
      </c>
      <c r="E6" s="121">
        <v>300</v>
      </c>
      <c r="F6" s="122">
        <v>305</v>
      </c>
      <c r="G6" s="185">
        <v>305</v>
      </c>
      <c r="H6" s="67">
        <v>300</v>
      </c>
      <c r="I6" s="123">
        <v>300</v>
      </c>
      <c r="J6" s="123">
        <v>305</v>
      </c>
      <c r="K6" s="181">
        <v>305</v>
      </c>
      <c r="L6" s="69"/>
      <c r="M6" s="70"/>
      <c r="N6" s="307">
        <v>420</v>
      </c>
      <c r="O6" s="30"/>
      <c r="P6" s="359"/>
    </row>
    <row r="7" spans="2:16" x14ac:dyDescent="0.25">
      <c r="B7" s="63" t="s">
        <v>26</v>
      </c>
      <c r="C7" s="64" t="s">
        <v>17</v>
      </c>
      <c r="D7" s="64" t="s">
        <v>0</v>
      </c>
      <c r="E7" s="71">
        <v>5</v>
      </c>
      <c r="F7" s="72">
        <v>5</v>
      </c>
      <c r="G7" s="135">
        <v>5</v>
      </c>
      <c r="H7" s="63">
        <v>5</v>
      </c>
      <c r="I7" s="64">
        <v>5</v>
      </c>
      <c r="J7" s="64">
        <v>5</v>
      </c>
      <c r="K7" s="182"/>
      <c r="L7" s="73"/>
      <c r="M7" s="74"/>
      <c r="N7" s="102">
        <v>655</v>
      </c>
      <c r="O7" s="64"/>
      <c r="P7" s="356" t="s">
        <v>81</v>
      </c>
    </row>
    <row r="8" spans="2:16" x14ac:dyDescent="0.25">
      <c r="B8" s="63" t="s">
        <v>26</v>
      </c>
      <c r="C8" s="64" t="s">
        <v>17</v>
      </c>
      <c r="D8" s="64" t="s">
        <v>1</v>
      </c>
      <c r="E8" s="71">
        <v>75</v>
      </c>
      <c r="F8" s="72">
        <v>75</v>
      </c>
      <c r="G8" s="135">
        <v>75</v>
      </c>
      <c r="H8" s="63">
        <v>75</v>
      </c>
      <c r="I8" s="64">
        <v>75</v>
      </c>
      <c r="J8" s="64">
        <v>60</v>
      </c>
      <c r="K8" s="138">
        <v>85</v>
      </c>
      <c r="L8" s="73"/>
      <c r="M8" s="74" t="s">
        <v>229</v>
      </c>
      <c r="N8" s="102">
        <v>655</v>
      </c>
      <c r="O8" s="64"/>
      <c r="P8" s="356"/>
    </row>
    <row r="9" spans="2:16" x14ac:dyDescent="0.25">
      <c r="B9" s="63" t="s">
        <v>26</v>
      </c>
      <c r="C9" s="64" t="s">
        <v>17</v>
      </c>
      <c r="D9" s="64" t="s">
        <v>2</v>
      </c>
      <c r="E9" s="71">
        <v>50</v>
      </c>
      <c r="F9" s="72">
        <v>50</v>
      </c>
      <c r="G9" s="135">
        <v>50</v>
      </c>
      <c r="H9" s="63">
        <v>50</v>
      </c>
      <c r="I9" s="64">
        <v>50</v>
      </c>
      <c r="J9" s="64">
        <v>50</v>
      </c>
      <c r="K9" s="138">
        <v>50</v>
      </c>
      <c r="L9" s="73"/>
      <c r="M9" s="74"/>
      <c r="N9" s="102">
        <v>655</v>
      </c>
      <c r="O9" s="64"/>
      <c r="P9" s="356"/>
    </row>
    <row r="10" spans="2:16" x14ac:dyDescent="0.25">
      <c r="B10" s="63" t="s">
        <v>26</v>
      </c>
      <c r="C10" s="64" t="s">
        <v>17</v>
      </c>
      <c r="D10" s="64" t="s">
        <v>3</v>
      </c>
      <c r="E10" s="71">
        <v>400</v>
      </c>
      <c r="F10" s="72">
        <v>400</v>
      </c>
      <c r="G10" s="135">
        <v>400</v>
      </c>
      <c r="H10" s="63">
        <v>405</v>
      </c>
      <c r="I10" s="64">
        <v>400</v>
      </c>
      <c r="J10" s="64">
        <v>410</v>
      </c>
      <c r="K10" s="138">
        <v>4000</v>
      </c>
      <c r="L10" s="73"/>
      <c r="M10" s="74" t="s">
        <v>230</v>
      </c>
      <c r="N10" s="102">
        <v>655</v>
      </c>
      <c r="O10" s="64"/>
      <c r="P10" s="356"/>
    </row>
    <row r="11" spans="2:16" x14ac:dyDescent="0.25">
      <c r="B11" s="63" t="s">
        <v>26</v>
      </c>
      <c r="C11" s="64" t="s">
        <v>17</v>
      </c>
      <c r="D11" s="64" t="s">
        <v>4</v>
      </c>
      <c r="E11" s="71">
        <v>100</v>
      </c>
      <c r="F11" s="72">
        <v>100</v>
      </c>
      <c r="G11" s="135">
        <v>100</v>
      </c>
      <c r="H11" s="63">
        <v>100</v>
      </c>
      <c r="I11" s="64">
        <v>100</v>
      </c>
      <c r="J11" s="64">
        <v>100</v>
      </c>
      <c r="K11" s="138">
        <v>100</v>
      </c>
      <c r="L11" s="73"/>
      <c r="M11" s="74"/>
      <c r="N11" s="102">
        <v>655</v>
      </c>
      <c r="O11" s="64"/>
      <c r="P11" s="356"/>
    </row>
    <row r="12" spans="2:16" x14ac:dyDescent="0.25">
      <c r="B12" s="63" t="s">
        <v>26</v>
      </c>
      <c r="C12" s="64" t="s">
        <v>17</v>
      </c>
      <c r="D12" s="64" t="s">
        <v>5</v>
      </c>
      <c r="E12" s="71">
        <v>0</v>
      </c>
      <c r="F12" s="72">
        <v>0</v>
      </c>
      <c r="G12" s="135">
        <v>0</v>
      </c>
      <c r="H12" s="63">
        <v>0</v>
      </c>
      <c r="I12" s="64">
        <v>0</v>
      </c>
      <c r="J12" s="64">
        <v>0</v>
      </c>
      <c r="K12" s="138">
        <v>0</v>
      </c>
      <c r="L12" s="73"/>
      <c r="M12" s="74"/>
      <c r="N12" s="102">
        <v>655</v>
      </c>
      <c r="O12" s="64"/>
      <c r="P12" s="356"/>
    </row>
    <row r="13" spans="2:16" x14ac:dyDescent="0.25">
      <c r="B13" s="63" t="s">
        <v>26</v>
      </c>
      <c r="C13" s="64" t="s">
        <v>17</v>
      </c>
      <c r="D13" s="64" t="s">
        <v>6</v>
      </c>
      <c r="E13" s="71">
        <v>20</v>
      </c>
      <c r="F13" s="72">
        <v>20</v>
      </c>
      <c r="G13" s="135">
        <v>20</v>
      </c>
      <c r="H13" s="63">
        <v>20</v>
      </c>
      <c r="I13" s="64">
        <v>20</v>
      </c>
      <c r="J13" s="64">
        <v>20</v>
      </c>
      <c r="K13" s="138">
        <v>25</v>
      </c>
      <c r="L13" s="73"/>
      <c r="M13" s="74"/>
      <c r="N13" s="102">
        <v>655</v>
      </c>
      <c r="O13" s="64"/>
      <c r="P13" s="356"/>
    </row>
    <row r="14" spans="2:16" x14ac:dyDescent="0.25">
      <c r="B14" s="59" t="s">
        <v>20</v>
      </c>
      <c r="C14" s="60" t="s">
        <v>21</v>
      </c>
      <c r="D14" s="60" t="s">
        <v>3</v>
      </c>
      <c r="E14" s="76">
        <v>100</v>
      </c>
      <c r="F14" s="77"/>
      <c r="G14" s="134"/>
      <c r="H14" s="59">
        <v>100</v>
      </c>
      <c r="I14" s="60"/>
      <c r="J14" s="60"/>
      <c r="K14" s="150"/>
      <c r="L14" s="78"/>
      <c r="M14" s="79"/>
      <c r="N14" s="364">
        <v>90</v>
      </c>
      <c r="O14" s="64"/>
      <c r="P14" s="356" t="s">
        <v>25</v>
      </c>
    </row>
    <row r="15" spans="2:16" x14ac:dyDescent="0.25">
      <c r="B15" s="67" t="s">
        <v>20</v>
      </c>
      <c r="C15" s="68" t="s">
        <v>21</v>
      </c>
      <c r="D15" s="68" t="s">
        <v>1</v>
      </c>
      <c r="E15" s="81">
        <v>50</v>
      </c>
      <c r="F15" s="82">
        <v>50</v>
      </c>
      <c r="G15" s="136">
        <v>50</v>
      </c>
      <c r="H15" s="67">
        <v>50</v>
      </c>
      <c r="I15" s="68">
        <v>50</v>
      </c>
      <c r="J15" s="68">
        <v>50</v>
      </c>
      <c r="K15" s="181">
        <v>50</v>
      </c>
      <c r="L15" s="83"/>
      <c r="M15" s="84"/>
      <c r="N15" s="365">
        <v>90</v>
      </c>
      <c r="O15" s="64"/>
      <c r="P15" s="356"/>
    </row>
    <row r="16" spans="2:16" x14ac:dyDescent="0.25">
      <c r="B16" s="59" t="s">
        <v>22</v>
      </c>
      <c r="C16" s="112">
        <v>7777777</v>
      </c>
      <c r="D16" s="60" t="s">
        <v>1</v>
      </c>
      <c r="E16" s="76"/>
      <c r="F16" s="77"/>
      <c r="G16" s="134"/>
      <c r="H16" s="59"/>
      <c r="I16" s="60">
        <v>30</v>
      </c>
      <c r="J16" s="60">
        <v>30</v>
      </c>
      <c r="K16" s="150">
        <v>40</v>
      </c>
      <c r="L16" s="78" t="s">
        <v>231</v>
      </c>
      <c r="M16" s="79"/>
      <c r="N16" s="80"/>
      <c r="O16" s="64"/>
      <c r="P16" s="357" t="s">
        <v>23</v>
      </c>
    </row>
    <row r="17" spans="2:16" x14ac:dyDescent="0.25">
      <c r="B17" s="63" t="s">
        <v>22</v>
      </c>
      <c r="C17" s="113">
        <v>7777777</v>
      </c>
      <c r="D17" s="64" t="s">
        <v>4</v>
      </c>
      <c r="E17" s="71"/>
      <c r="F17" s="72"/>
      <c r="G17" s="135"/>
      <c r="H17" s="63"/>
      <c r="I17" s="64"/>
      <c r="J17" s="64"/>
      <c r="K17" s="138">
        <v>10</v>
      </c>
      <c r="L17" s="73" t="s">
        <v>231</v>
      </c>
      <c r="M17" s="74"/>
      <c r="N17" s="75"/>
      <c r="O17" s="64"/>
      <c r="P17" s="358"/>
    </row>
    <row r="18" spans="2:16" x14ac:dyDescent="0.25">
      <c r="B18" s="67" t="s">
        <v>22</v>
      </c>
      <c r="C18" s="114">
        <v>7777777</v>
      </c>
      <c r="D18" s="68" t="s">
        <v>5</v>
      </c>
      <c r="E18" s="81"/>
      <c r="F18" s="82"/>
      <c r="G18" s="136"/>
      <c r="H18" s="67"/>
      <c r="I18" s="68"/>
      <c r="J18" s="68"/>
      <c r="K18" s="181">
        <v>50</v>
      </c>
      <c r="L18" s="83" t="s">
        <v>231</v>
      </c>
      <c r="M18" s="84"/>
      <c r="N18" s="85"/>
      <c r="O18" s="64"/>
      <c r="P18" s="358"/>
    </row>
    <row r="19" spans="2:16" x14ac:dyDescent="0.25">
      <c r="B19" s="63" t="s">
        <v>18</v>
      </c>
      <c r="C19" s="115" t="s">
        <v>19</v>
      </c>
      <c r="D19" s="115" t="s">
        <v>0</v>
      </c>
      <c r="E19" s="71">
        <v>5</v>
      </c>
      <c r="F19" s="72"/>
      <c r="G19" s="135"/>
      <c r="H19" s="63">
        <v>5</v>
      </c>
      <c r="I19" s="64"/>
      <c r="J19" s="64"/>
      <c r="K19" s="138"/>
      <c r="L19" s="73" t="s">
        <v>232</v>
      </c>
      <c r="M19" s="74"/>
      <c r="N19" s="102">
        <v>100</v>
      </c>
      <c r="O19" s="64"/>
      <c r="P19" s="354" t="s">
        <v>24</v>
      </c>
    </row>
    <row r="20" spans="2:16" x14ac:dyDescent="0.25">
      <c r="B20" s="63" t="s">
        <v>18</v>
      </c>
      <c r="C20" s="115" t="s">
        <v>19</v>
      </c>
      <c r="D20" s="115" t="s">
        <v>1</v>
      </c>
      <c r="E20" s="71">
        <v>10</v>
      </c>
      <c r="F20" s="72"/>
      <c r="G20" s="135"/>
      <c r="H20" s="63">
        <v>10</v>
      </c>
      <c r="I20" s="64"/>
      <c r="J20" s="64"/>
      <c r="K20" s="138"/>
      <c r="L20" s="73" t="s">
        <v>232</v>
      </c>
      <c r="M20" s="74"/>
      <c r="N20" s="102">
        <v>100</v>
      </c>
      <c r="O20" s="64"/>
      <c r="P20" s="355"/>
    </row>
    <row r="21" spans="2:16" x14ac:dyDescent="0.25">
      <c r="B21" s="63" t="s">
        <v>18</v>
      </c>
      <c r="C21" s="115" t="s">
        <v>19</v>
      </c>
      <c r="D21" s="115" t="s">
        <v>2</v>
      </c>
      <c r="E21" s="71">
        <v>10</v>
      </c>
      <c r="F21" s="72"/>
      <c r="G21" s="135"/>
      <c r="H21" s="63">
        <v>10</v>
      </c>
      <c r="I21" s="64"/>
      <c r="J21" s="64"/>
      <c r="K21" s="138"/>
      <c r="L21" s="73" t="s">
        <v>232</v>
      </c>
      <c r="M21" s="74"/>
      <c r="N21" s="102">
        <v>100</v>
      </c>
      <c r="O21" s="64"/>
      <c r="P21" s="355"/>
    </row>
    <row r="22" spans="2:16" x14ac:dyDescent="0.25">
      <c r="B22" s="63" t="s">
        <v>18</v>
      </c>
      <c r="C22" s="115" t="s">
        <v>19</v>
      </c>
      <c r="D22" s="115" t="s">
        <v>3</v>
      </c>
      <c r="E22" s="71">
        <v>20</v>
      </c>
      <c r="F22" s="72"/>
      <c r="G22" s="135"/>
      <c r="H22" s="63">
        <v>20</v>
      </c>
      <c r="I22" s="64"/>
      <c r="J22" s="64"/>
      <c r="K22" s="138"/>
      <c r="L22" s="73" t="s">
        <v>232</v>
      </c>
      <c r="M22" s="74"/>
      <c r="N22" s="102">
        <v>100</v>
      </c>
      <c r="O22" s="64"/>
      <c r="P22" s="355"/>
    </row>
    <row r="23" spans="2:16" x14ac:dyDescent="0.25">
      <c r="B23" s="63" t="s">
        <v>18</v>
      </c>
      <c r="C23" s="115" t="s">
        <v>19</v>
      </c>
      <c r="D23" s="115" t="s">
        <v>4</v>
      </c>
      <c r="E23" s="71">
        <v>0</v>
      </c>
      <c r="F23" s="72"/>
      <c r="G23" s="135"/>
      <c r="H23" s="63">
        <v>0</v>
      </c>
      <c r="I23" s="64"/>
      <c r="J23" s="64"/>
      <c r="K23" s="138"/>
      <c r="L23" s="73" t="s">
        <v>232</v>
      </c>
      <c r="M23" s="74"/>
      <c r="N23" s="102">
        <v>100</v>
      </c>
      <c r="O23" s="64"/>
      <c r="P23" s="355"/>
    </row>
    <row r="24" spans="2:16" x14ac:dyDescent="0.25">
      <c r="B24" s="63" t="s">
        <v>18</v>
      </c>
      <c r="C24" s="115" t="s">
        <v>19</v>
      </c>
      <c r="D24" s="115" t="s">
        <v>5</v>
      </c>
      <c r="E24" s="71">
        <v>5</v>
      </c>
      <c r="F24" s="72"/>
      <c r="G24" s="135"/>
      <c r="H24" s="63">
        <v>5</v>
      </c>
      <c r="I24" s="64"/>
      <c r="J24" s="64"/>
      <c r="K24" s="138"/>
      <c r="L24" s="73" t="s">
        <v>232</v>
      </c>
      <c r="M24" s="74"/>
      <c r="N24" s="102">
        <v>100</v>
      </c>
      <c r="O24" s="64"/>
      <c r="P24" s="355"/>
    </row>
    <row r="26" spans="2:16" x14ac:dyDescent="0.25">
      <c r="O26" s="1"/>
    </row>
    <row r="27" spans="2:16" x14ac:dyDescent="0.25">
      <c r="C27"/>
      <c r="O27" s="1"/>
    </row>
    <row r="28" spans="2:16" x14ac:dyDescent="0.25">
      <c r="C28"/>
      <c r="D28"/>
      <c r="O28" s="1"/>
    </row>
    <row r="29" spans="2:16" x14ac:dyDescent="0.25">
      <c r="C29"/>
      <c r="D29"/>
      <c r="O29" s="1"/>
    </row>
    <row r="30" spans="2:16" x14ac:dyDescent="0.25">
      <c r="O30" s="1"/>
    </row>
    <row r="31" spans="2:16" x14ac:dyDescent="0.25">
      <c r="O31" s="1"/>
    </row>
    <row r="32" spans="2:16" x14ac:dyDescent="0.25">
      <c r="B32"/>
      <c r="C32"/>
      <c r="D32"/>
      <c r="O32" s="1"/>
    </row>
    <row r="33" spans="2:15" x14ac:dyDescent="0.25">
      <c r="B33"/>
      <c r="C33"/>
      <c r="D33"/>
      <c r="O33" s="1"/>
    </row>
    <row r="34" spans="2:15" x14ac:dyDescent="0.25">
      <c r="B34"/>
      <c r="C34"/>
      <c r="D34"/>
      <c r="O34" s="1"/>
    </row>
    <row r="35" spans="2:15" x14ac:dyDescent="0.25">
      <c r="B35"/>
      <c r="C35"/>
      <c r="D35"/>
      <c r="O35" s="1"/>
    </row>
    <row r="36" spans="2:15" x14ac:dyDescent="0.25">
      <c r="B36"/>
      <c r="C36"/>
      <c r="D36"/>
      <c r="O36" s="1"/>
    </row>
    <row r="37" spans="2:15" x14ac:dyDescent="0.25">
      <c r="B37"/>
      <c r="C37"/>
      <c r="D37"/>
      <c r="O37" s="1"/>
    </row>
    <row r="38" spans="2:15" x14ac:dyDescent="0.25">
      <c r="O38" s="1"/>
    </row>
    <row r="39" spans="2:15" x14ac:dyDescent="0.25">
      <c r="O39" s="1"/>
    </row>
    <row r="40" spans="2:15" x14ac:dyDescent="0.25">
      <c r="B40"/>
      <c r="C40"/>
      <c r="D40"/>
      <c r="O40" s="1"/>
    </row>
    <row r="41" spans="2:15" x14ac:dyDescent="0.25">
      <c r="D41"/>
      <c r="O41" s="1"/>
    </row>
    <row r="42" spans="2:15" x14ac:dyDescent="0.25">
      <c r="D42"/>
      <c r="M42" s="273"/>
      <c r="O42" s="1"/>
    </row>
    <row r="43" spans="2:15" x14ac:dyDescent="0.25">
      <c r="D43"/>
      <c r="O43" s="1"/>
    </row>
    <row r="44" spans="2:15" x14ac:dyDescent="0.25">
      <c r="O44" s="1"/>
    </row>
    <row r="45" spans="2:15" x14ac:dyDescent="0.25">
      <c r="O45" s="1"/>
    </row>
    <row r="46" spans="2:15" x14ac:dyDescent="0.25">
      <c r="O46" s="1"/>
    </row>
    <row r="47" spans="2:15" x14ac:dyDescent="0.25">
      <c r="O47" s="1"/>
    </row>
    <row r="48" spans="2:15" x14ac:dyDescent="0.25">
      <c r="O48" s="1"/>
    </row>
    <row r="49" spans="15:15" x14ac:dyDescent="0.25">
      <c r="O49" s="1"/>
    </row>
    <row r="50" spans="15:15" x14ac:dyDescent="0.25">
      <c r="O50" s="1"/>
    </row>
    <row r="51" spans="15:15" x14ac:dyDescent="0.25">
      <c r="O51" s="1"/>
    </row>
    <row r="52" spans="15:15" x14ac:dyDescent="0.25">
      <c r="O52" s="1"/>
    </row>
    <row r="53" spans="15:15" x14ac:dyDescent="0.25">
      <c r="O53" s="1"/>
    </row>
    <row r="54" spans="15:15" x14ac:dyDescent="0.25">
      <c r="O54" s="1"/>
    </row>
    <row r="55" spans="15:15" x14ac:dyDescent="0.25">
      <c r="O55" s="1"/>
    </row>
    <row r="56" spans="15:15" x14ac:dyDescent="0.25">
      <c r="O56" s="1"/>
    </row>
    <row r="57" spans="15:15" x14ac:dyDescent="0.25">
      <c r="O57" s="1"/>
    </row>
    <row r="58" spans="15:15" x14ac:dyDescent="0.25">
      <c r="O58" s="1"/>
    </row>
    <row r="59" spans="15:15" x14ac:dyDescent="0.25">
      <c r="O59" s="1"/>
    </row>
    <row r="60" spans="15:15" x14ac:dyDescent="0.25">
      <c r="O60" s="1"/>
    </row>
    <row r="61" spans="15:15" x14ac:dyDescent="0.25">
      <c r="O61" s="1"/>
    </row>
    <row r="62" spans="15:15" x14ac:dyDescent="0.25">
      <c r="O62" s="1"/>
    </row>
    <row r="63" spans="15:15" x14ac:dyDescent="0.25">
      <c r="O63" s="1"/>
    </row>
    <row r="64" spans="15:15" x14ac:dyDescent="0.25">
      <c r="O64" s="1"/>
    </row>
    <row r="65" spans="15:15" x14ac:dyDescent="0.25">
      <c r="O65" s="1"/>
    </row>
    <row r="66" spans="15:15" x14ac:dyDescent="0.25">
      <c r="O66" s="1"/>
    </row>
    <row r="67" spans="15:15" x14ac:dyDescent="0.25">
      <c r="O67" s="1"/>
    </row>
    <row r="68" spans="15:15" x14ac:dyDescent="0.25">
      <c r="O68" s="1"/>
    </row>
    <row r="69" spans="15:15" x14ac:dyDescent="0.25">
      <c r="O69" s="1"/>
    </row>
    <row r="70" spans="15:15" x14ac:dyDescent="0.25">
      <c r="O70" s="1"/>
    </row>
    <row r="71" spans="15:15" x14ac:dyDescent="0.25">
      <c r="O71" s="1"/>
    </row>
    <row r="72" spans="15:15" x14ac:dyDescent="0.25">
      <c r="O72" s="1"/>
    </row>
    <row r="73" spans="15:15" x14ac:dyDescent="0.25">
      <c r="O73" s="1"/>
    </row>
    <row r="74" spans="15:15" x14ac:dyDescent="0.25">
      <c r="O74" s="1"/>
    </row>
    <row r="75" spans="15:15" x14ac:dyDescent="0.25">
      <c r="O75" s="1"/>
    </row>
    <row r="76" spans="15:15" x14ac:dyDescent="0.25">
      <c r="O76" s="1"/>
    </row>
    <row r="77" spans="15:15" x14ac:dyDescent="0.25">
      <c r="O77" s="1"/>
    </row>
    <row r="78" spans="15:15" x14ac:dyDescent="0.25">
      <c r="O78" s="1"/>
    </row>
    <row r="79" spans="15:15" x14ac:dyDescent="0.25">
      <c r="O79" s="1"/>
    </row>
    <row r="80" spans="15:15" x14ac:dyDescent="0.25">
      <c r="O80" s="1"/>
    </row>
    <row r="81" spans="15:15" x14ac:dyDescent="0.25">
      <c r="O81" s="1"/>
    </row>
    <row r="82" spans="15:15" x14ac:dyDescent="0.25">
      <c r="O82" s="1"/>
    </row>
    <row r="83" spans="15:15" x14ac:dyDescent="0.25">
      <c r="O83" s="1"/>
    </row>
    <row r="84" spans="15:15" x14ac:dyDescent="0.25">
      <c r="O84" s="1"/>
    </row>
    <row r="85" spans="15:15" x14ac:dyDescent="0.25">
      <c r="O85" s="1"/>
    </row>
    <row r="86" spans="15:15" x14ac:dyDescent="0.25">
      <c r="O86" s="1"/>
    </row>
    <row r="87" spans="15:15" x14ac:dyDescent="0.25">
      <c r="O87" s="1"/>
    </row>
    <row r="88" spans="15:15" x14ac:dyDescent="0.25">
      <c r="O88" s="1"/>
    </row>
    <row r="89" spans="15:15" x14ac:dyDescent="0.25">
      <c r="O89" s="1"/>
    </row>
    <row r="90" spans="15:15" x14ac:dyDescent="0.25">
      <c r="O90" s="1"/>
    </row>
    <row r="91" spans="15:15" x14ac:dyDescent="0.25">
      <c r="O91" s="1"/>
    </row>
    <row r="92" spans="15:15" x14ac:dyDescent="0.25">
      <c r="O92" s="1"/>
    </row>
    <row r="93" spans="15:15" x14ac:dyDescent="0.25">
      <c r="O93" s="1"/>
    </row>
    <row r="94" spans="15:15" x14ac:dyDescent="0.25">
      <c r="O94" s="1"/>
    </row>
    <row r="95" spans="15:15" x14ac:dyDescent="0.25">
      <c r="O95" s="1"/>
    </row>
    <row r="96" spans="15:15" x14ac:dyDescent="0.25">
      <c r="O96" s="1"/>
    </row>
    <row r="97" spans="15:15" x14ac:dyDescent="0.25">
      <c r="O97" s="1"/>
    </row>
    <row r="98" spans="15:15" x14ac:dyDescent="0.25">
      <c r="O98" s="1"/>
    </row>
    <row r="99" spans="15:15" x14ac:dyDescent="0.25">
      <c r="O99" s="1"/>
    </row>
    <row r="100" spans="15:15" x14ac:dyDescent="0.25">
      <c r="O100" s="1"/>
    </row>
    <row r="101" spans="15:15" x14ac:dyDescent="0.25">
      <c r="O101" s="1"/>
    </row>
    <row r="102" spans="15:15" x14ac:dyDescent="0.25">
      <c r="O102" s="1"/>
    </row>
    <row r="103" spans="15:15" x14ac:dyDescent="0.25">
      <c r="O103" s="1"/>
    </row>
    <row r="104" spans="15:15" x14ac:dyDescent="0.25">
      <c r="O104" s="1"/>
    </row>
    <row r="105" spans="15:15" x14ac:dyDescent="0.25">
      <c r="O105" s="1"/>
    </row>
    <row r="106" spans="15:15" x14ac:dyDescent="0.25">
      <c r="O106" s="1"/>
    </row>
    <row r="107" spans="15:15" x14ac:dyDescent="0.25">
      <c r="O107" s="1"/>
    </row>
    <row r="108" spans="15:15" x14ac:dyDescent="0.25">
      <c r="O108" s="1"/>
    </row>
    <row r="109" spans="15:15" x14ac:dyDescent="0.25">
      <c r="O109" s="1"/>
    </row>
    <row r="110" spans="15:15" x14ac:dyDescent="0.25">
      <c r="O110" s="1"/>
    </row>
    <row r="111" spans="15:15" x14ac:dyDescent="0.25">
      <c r="O111" s="1"/>
    </row>
    <row r="112" spans="15:15" x14ac:dyDescent="0.25">
      <c r="O112" s="1"/>
    </row>
    <row r="113" spans="15:15" x14ac:dyDescent="0.25">
      <c r="O113" s="1"/>
    </row>
    <row r="114" spans="15:15" x14ac:dyDescent="0.25">
      <c r="O114" s="1"/>
    </row>
    <row r="115" spans="15:15" x14ac:dyDescent="0.25">
      <c r="O115" s="1"/>
    </row>
    <row r="116" spans="15:15" x14ac:dyDescent="0.25">
      <c r="O116" s="1"/>
    </row>
    <row r="117" spans="15:15" x14ac:dyDescent="0.25">
      <c r="O117" s="1"/>
    </row>
    <row r="118" spans="15:15" x14ac:dyDescent="0.25">
      <c r="O118" s="1"/>
    </row>
    <row r="119" spans="15:15" x14ac:dyDescent="0.25">
      <c r="O119" s="1"/>
    </row>
    <row r="120" spans="15:15" x14ac:dyDescent="0.25">
      <c r="O120" s="1"/>
    </row>
    <row r="121" spans="15:15" x14ac:dyDescent="0.25">
      <c r="O121" s="1"/>
    </row>
    <row r="122" spans="15:15" x14ac:dyDescent="0.25">
      <c r="O122" s="1"/>
    </row>
    <row r="123" spans="15:15" x14ac:dyDescent="0.25">
      <c r="O123" s="1"/>
    </row>
    <row r="124" spans="15:15" x14ac:dyDescent="0.25">
      <c r="O124" s="1"/>
    </row>
    <row r="125" spans="15:15" x14ac:dyDescent="0.25">
      <c r="O125" s="1"/>
    </row>
    <row r="126" spans="15:15" x14ac:dyDescent="0.25">
      <c r="O126" s="1"/>
    </row>
    <row r="127" spans="15:15" x14ac:dyDescent="0.25">
      <c r="O127" s="1"/>
    </row>
    <row r="128" spans="15:15" x14ac:dyDescent="0.25">
      <c r="O128" s="1"/>
    </row>
    <row r="129" spans="15:15" x14ac:dyDescent="0.25">
      <c r="O129" s="1"/>
    </row>
    <row r="130" spans="15:15" x14ac:dyDescent="0.25">
      <c r="O130" s="1"/>
    </row>
    <row r="131" spans="15:15" x14ac:dyDescent="0.25">
      <c r="O131" s="1"/>
    </row>
    <row r="132" spans="15:15" x14ac:dyDescent="0.25">
      <c r="O132" s="1"/>
    </row>
    <row r="133" spans="15:15" x14ac:dyDescent="0.25">
      <c r="O133" s="1"/>
    </row>
    <row r="134" spans="15:15" x14ac:dyDescent="0.25">
      <c r="O134" s="1"/>
    </row>
    <row r="135" spans="15:15" x14ac:dyDescent="0.25">
      <c r="O135" s="1"/>
    </row>
    <row r="136" spans="15:15" x14ac:dyDescent="0.25">
      <c r="O136" s="1"/>
    </row>
    <row r="137" spans="15:15" x14ac:dyDescent="0.25">
      <c r="O137" s="1"/>
    </row>
    <row r="138" spans="15:15" x14ac:dyDescent="0.25">
      <c r="O138" s="1"/>
    </row>
    <row r="139" spans="15:15" x14ac:dyDescent="0.25">
      <c r="O139" s="1"/>
    </row>
    <row r="140" spans="15:15" x14ac:dyDescent="0.25">
      <c r="O140" s="1"/>
    </row>
    <row r="141" spans="15:15" x14ac:dyDescent="0.25">
      <c r="O141" s="1"/>
    </row>
    <row r="142" spans="15:15" x14ac:dyDescent="0.25">
      <c r="O142" s="1"/>
    </row>
    <row r="143" spans="15:15" x14ac:dyDescent="0.25">
      <c r="O143" s="1"/>
    </row>
    <row r="144" spans="15:15" x14ac:dyDescent="0.25">
      <c r="O144" s="1"/>
    </row>
    <row r="145" spans="15:15" x14ac:dyDescent="0.25">
      <c r="O145" s="1"/>
    </row>
    <row r="146" spans="15:15" x14ac:dyDescent="0.25">
      <c r="O146" s="1"/>
    </row>
    <row r="147" spans="15:15" x14ac:dyDescent="0.25">
      <c r="O147" s="1"/>
    </row>
    <row r="148" spans="15:15" x14ac:dyDescent="0.25">
      <c r="O148" s="1"/>
    </row>
    <row r="149" spans="15:15" x14ac:dyDescent="0.25">
      <c r="O149" s="1"/>
    </row>
    <row r="150" spans="15:15" x14ac:dyDescent="0.25">
      <c r="O150" s="1"/>
    </row>
    <row r="151" spans="15:15" x14ac:dyDescent="0.25">
      <c r="O151" s="1"/>
    </row>
    <row r="152" spans="15:15" x14ac:dyDescent="0.25">
      <c r="O152" s="1"/>
    </row>
    <row r="153" spans="15:15" x14ac:dyDescent="0.25">
      <c r="O153" s="1"/>
    </row>
    <row r="154" spans="15:15" x14ac:dyDescent="0.25">
      <c r="O154" s="1"/>
    </row>
    <row r="155" spans="15:15" x14ac:dyDescent="0.25">
      <c r="O155" s="1"/>
    </row>
    <row r="156" spans="15:15" x14ac:dyDescent="0.25">
      <c r="O156" s="1"/>
    </row>
    <row r="157" spans="15:15" x14ac:dyDescent="0.25">
      <c r="O157" s="1"/>
    </row>
    <row r="158" spans="15:15" x14ac:dyDescent="0.25">
      <c r="O158" s="1"/>
    </row>
    <row r="159" spans="15:15" x14ac:dyDescent="0.25">
      <c r="O159" s="1"/>
    </row>
    <row r="160" spans="15:15" x14ac:dyDescent="0.25">
      <c r="O160" s="1"/>
    </row>
    <row r="161" spans="15:15" x14ac:dyDescent="0.25">
      <c r="O161" s="1"/>
    </row>
    <row r="162" spans="15:15" x14ac:dyDescent="0.25">
      <c r="O162" s="1"/>
    </row>
    <row r="163" spans="15:15" x14ac:dyDescent="0.25">
      <c r="O163" s="1"/>
    </row>
    <row r="164" spans="15:15" x14ac:dyDescent="0.25">
      <c r="O164" s="1"/>
    </row>
    <row r="165" spans="15:15" x14ac:dyDescent="0.25">
      <c r="O165" s="1"/>
    </row>
    <row r="166" spans="15:15" x14ac:dyDescent="0.25">
      <c r="O166" s="1"/>
    </row>
    <row r="167" spans="15:15" x14ac:dyDescent="0.25">
      <c r="O167" s="1"/>
    </row>
    <row r="168" spans="15:15" x14ac:dyDescent="0.25">
      <c r="O168" s="1"/>
    </row>
    <row r="169" spans="15:15" x14ac:dyDescent="0.25">
      <c r="O169" s="1"/>
    </row>
    <row r="170" spans="15:15" x14ac:dyDescent="0.25">
      <c r="O170" s="1"/>
    </row>
    <row r="171" spans="15:15" x14ac:dyDescent="0.25">
      <c r="O171" s="1"/>
    </row>
    <row r="172" spans="15:15" x14ac:dyDescent="0.25">
      <c r="O172" s="1"/>
    </row>
    <row r="173" spans="15:15" x14ac:dyDescent="0.25">
      <c r="O173" s="1"/>
    </row>
    <row r="174" spans="15:15" x14ac:dyDescent="0.25">
      <c r="O174" s="1"/>
    </row>
    <row r="175" spans="15:15" x14ac:dyDescent="0.25">
      <c r="O175" s="1"/>
    </row>
    <row r="176" spans="15:15" x14ac:dyDescent="0.25">
      <c r="O176" s="1"/>
    </row>
    <row r="177" spans="15:15" x14ac:dyDescent="0.25">
      <c r="O177" s="1"/>
    </row>
    <row r="178" spans="15:15" x14ac:dyDescent="0.25">
      <c r="O178" s="1"/>
    </row>
    <row r="179" spans="15:15" x14ac:dyDescent="0.25">
      <c r="O179" s="1"/>
    </row>
    <row r="180" spans="15:15" x14ac:dyDescent="0.25">
      <c r="O180" s="1"/>
    </row>
    <row r="181" spans="15:15" x14ac:dyDescent="0.25">
      <c r="O181" s="1"/>
    </row>
    <row r="182" spans="15:15" x14ac:dyDescent="0.25">
      <c r="O182" s="1"/>
    </row>
    <row r="183" spans="15:15" x14ac:dyDescent="0.25">
      <c r="O183" s="1"/>
    </row>
    <row r="184" spans="15:15" x14ac:dyDescent="0.25">
      <c r="O184" s="1"/>
    </row>
    <row r="185" spans="15:15" x14ac:dyDescent="0.25">
      <c r="O185" s="1"/>
    </row>
    <row r="186" spans="15:15" x14ac:dyDescent="0.25">
      <c r="O186" s="1"/>
    </row>
    <row r="187" spans="15:15" x14ac:dyDescent="0.25">
      <c r="O187" s="1"/>
    </row>
    <row r="188" spans="15:15" x14ac:dyDescent="0.25">
      <c r="O188" s="1"/>
    </row>
    <row r="189" spans="15:15" x14ac:dyDescent="0.25">
      <c r="O189" s="1"/>
    </row>
    <row r="190" spans="15:15" x14ac:dyDescent="0.25">
      <c r="O190" s="1"/>
    </row>
    <row r="191" spans="15:15" x14ac:dyDescent="0.25">
      <c r="O191" s="1"/>
    </row>
    <row r="192" spans="15:15" x14ac:dyDescent="0.25">
      <c r="O192" s="1"/>
    </row>
    <row r="193" spans="15:15" x14ac:dyDescent="0.25">
      <c r="O193" s="1"/>
    </row>
    <row r="194" spans="15:15" x14ac:dyDescent="0.25">
      <c r="O194" s="1"/>
    </row>
    <row r="195" spans="15:15" x14ac:dyDescent="0.25">
      <c r="O195" s="1"/>
    </row>
    <row r="196" spans="15:15" x14ac:dyDescent="0.25">
      <c r="O196" s="1"/>
    </row>
    <row r="197" spans="15:15" x14ac:dyDescent="0.25">
      <c r="O197" s="1"/>
    </row>
    <row r="198" spans="15:15" x14ac:dyDescent="0.25">
      <c r="O198" s="1"/>
    </row>
    <row r="199" spans="15:15" x14ac:dyDescent="0.25">
      <c r="O199" s="1"/>
    </row>
    <row r="200" spans="15:15" x14ac:dyDescent="0.25">
      <c r="O200" s="1"/>
    </row>
    <row r="201" spans="15:15" x14ac:dyDescent="0.25">
      <c r="O201" s="1"/>
    </row>
    <row r="202" spans="15:15" x14ac:dyDescent="0.25">
      <c r="O202" s="1"/>
    </row>
    <row r="203" spans="15:15" x14ac:dyDescent="0.25">
      <c r="O203" s="1"/>
    </row>
    <row r="204" spans="15:15" x14ac:dyDescent="0.25">
      <c r="O204" s="1"/>
    </row>
    <row r="205" spans="15:15" x14ac:dyDescent="0.25">
      <c r="O205" s="1"/>
    </row>
    <row r="206" spans="15:15" x14ac:dyDescent="0.25">
      <c r="O206" s="1"/>
    </row>
    <row r="207" spans="15:15" x14ac:dyDescent="0.25">
      <c r="O207" s="1"/>
    </row>
    <row r="208" spans="15:15" x14ac:dyDescent="0.25">
      <c r="O208" s="1"/>
    </row>
    <row r="209" spans="15:15" x14ac:dyDescent="0.25">
      <c r="O209" s="1"/>
    </row>
    <row r="210" spans="15:15" x14ac:dyDescent="0.25">
      <c r="O210" s="1"/>
    </row>
    <row r="211" spans="15:15" x14ac:dyDescent="0.25">
      <c r="O211" s="1"/>
    </row>
    <row r="212" spans="15:15" x14ac:dyDescent="0.25">
      <c r="O212" s="1"/>
    </row>
    <row r="213" spans="15:15" x14ac:dyDescent="0.25">
      <c r="O213" s="1"/>
    </row>
    <row r="214" spans="15:15" x14ac:dyDescent="0.25">
      <c r="O214" s="1"/>
    </row>
    <row r="215" spans="15:15" x14ac:dyDescent="0.25">
      <c r="O215" s="1"/>
    </row>
    <row r="216" spans="15:15" x14ac:dyDescent="0.25">
      <c r="O216" s="1"/>
    </row>
    <row r="217" spans="15:15" x14ac:dyDescent="0.25">
      <c r="O217" s="1"/>
    </row>
    <row r="218" spans="15:15" x14ac:dyDescent="0.25">
      <c r="O218" s="1"/>
    </row>
    <row r="219" spans="15:15" x14ac:dyDescent="0.25">
      <c r="O219" s="1"/>
    </row>
    <row r="220" spans="15:15" x14ac:dyDescent="0.25">
      <c r="O220" s="1"/>
    </row>
    <row r="221" spans="15:15" x14ac:dyDescent="0.25">
      <c r="O221" s="1"/>
    </row>
    <row r="222" spans="15:15" x14ac:dyDescent="0.25">
      <c r="O222" s="1"/>
    </row>
    <row r="223" spans="15:15" x14ac:dyDescent="0.25">
      <c r="O223" s="1"/>
    </row>
    <row r="224" spans="15:15" x14ac:dyDescent="0.25">
      <c r="O224" s="1"/>
    </row>
    <row r="225" spans="15:15" x14ac:dyDescent="0.25">
      <c r="O225" s="1"/>
    </row>
    <row r="226" spans="15:15" x14ac:dyDescent="0.25">
      <c r="O226" s="1"/>
    </row>
    <row r="227" spans="15:15" x14ac:dyDescent="0.25">
      <c r="O227" s="1"/>
    </row>
    <row r="228" spans="15:15" x14ac:dyDescent="0.25">
      <c r="O228" s="1"/>
    </row>
    <row r="229" spans="15:15" x14ac:dyDescent="0.25">
      <c r="O229" s="1"/>
    </row>
    <row r="230" spans="15:15" x14ac:dyDescent="0.25">
      <c r="O230" s="1"/>
    </row>
    <row r="231" spans="15:15" x14ac:dyDescent="0.25">
      <c r="O231" s="1"/>
    </row>
    <row r="232" spans="15:15" x14ac:dyDescent="0.25">
      <c r="O232" s="1"/>
    </row>
    <row r="233" spans="15:15" x14ac:dyDescent="0.25">
      <c r="O233" s="1"/>
    </row>
    <row r="234" spans="15:15" x14ac:dyDescent="0.25">
      <c r="O234" s="1"/>
    </row>
    <row r="235" spans="15:15" x14ac:dyDescent="0.25">
      <c r="O235" s="1"/>
    </row>
    <row r="236" spans="15:15" x14ac:dyDescent="0.25">
      <c r="O236" s="1"/>
    </row>
    <row r="237" spans="15:15" x14ac:dyDescent="0.25">
      <c r="O237" s="1"/>
    </row>
    <row r="238" spans="15:15" x14ac:dyDescent="0.25">
      <c r="O238" s="1"/>
    </row>
    <row r="239" spans="15:15" x14ac:dyDescent="0.25">
      <c r="O239" s="1"/>
    </row>
    <row r="240" spans="15:15" x14ac:dyDescent="0.25">
      <c r="O240" s="1"/>
    </row>
    <row r="241" spans="15:15" x14ac:dyDescent="0.25">
      <c r="O241" s="1"/>
    </row>
    <row r="242" spans="15:15" x14ac:dyDescent="0.25">
      <c r="O242" s="1"/>
    </row>
    <row r="243" spans="15:15" x14ac:dyDescent="0.25">
      <c r="O243" s="1"/>
    </row>
    <row r="244" spans="15:15" x14ac:dyDescent="0.25">
      <c r="O244" s="1"/>
    </row>
    <row r="245" spans="15:15" x14ac:dyDescent="0.25">
      <c r="O245" s="1"/>
    </row>
    <row r="246" spans="15:15" x14ac:dyDescent="0.25">
      <c r="O246" s="1"/>
    </row>
    <row r="247" spans="15:15" x14ac:dyDescent="0.25">
      <c r="O247" s="1"/>
    </row>
    <row r="248" spans="15:15" x14ac:dyDescent="0.25">
      <c r="O248" s="1"/>
    </row>
    <row r="249" spans="15:15" x14ac:dyDescent="0.25">
      <c r="O249" s="1"/>
    </row>
    <row r="250" spans="15:15" x14ac:dyDescent="0.25">
      <c r="O250" s="1"/>
    </row>
    <row r="251" spans="15:15" x14ac:dyDescent="0.25">
      <c r="O251" s="1"/>
    </row>
    <row r="252" spans="15:15" x14ac:dyDescent="0.25">
      <c r="O252" s="1"/>
    </row>
    <row r="253" spans="15:15" x14ac:dyDescent="0.25">
      <c r="O253" s="1"/>
    </row>
    <row r="254" spans="15:15" x14ac:dyDescent="0.25">
      <c r="O254" s="1"/>
    </row>
    <row r="255" spans="15:15" x14ac:dyDescent="0.25">
      <c r="O255" s="1"/>
    </row>
    <row r="256" spans="15:15" x14ac:dyDescent="0.25">
      <c r="O256" s="1"/>
    </row>
    <row r="257" spans="15:15" x14ac:dyDescent="0.25">
      <c r="O257" s="1"/>
    </row>
    <row r="258" spans="15:15" x14ac:dyDescent="0.25">
      <c r="O258" s="1"/>
    </row>
    <row r="259" spans="15:15" x14ac:dyDescent="0.25">
      <c r="O259" s="1"/>
    </row>
    <row r="260" spans="15:15" x14ac:dyDescent="0.25">
      <c r="O260" s="1"/>
    </row>
    <row r="261" spans="15:15" x14ac:dyDescent="0.25">
      <c r="O261" s="1"/>
    </row>
    <row r="262" spans="15:15" x14ac:dyDescent="0.25">
      <c r="O262" s="1"/>
    </row>
    <row r="263" spans="15:15" x14ac:dyDescent="0.25">
      <c r="O263" s="1"/>
    </row>
    <row r="264" spans="15:15" x14ac:dyDescent="0.25">
      <c r="O264" s="1"/>
    </row>
    <row r="265" spans="15:15" x14ac:dyDescent="0.25">
      <c r="O265" s="1"/>
    </row>
    <row r="266" spans="15:15" x14ac:dyDescent="0.25">
      <c r="O266" s="1"/>
    </row>
    <row r="267" spans="15:15" x14ac:dyDescent="0.25">
      <c r="O267" s="1"/>
    </row>
    <row r="268" spans="15:15" x14ac:dyDescent="0.25">
      <c r="O268" s="1"/>
    </row>
    <row r="269" spans="15:15" x14ac:dyDescent="0.25">
      <c r="O269" s="1"/>
    </row>
    <row r="270" spans="15:15" x14ac:dyDescent="0.25">
      <c r="O270" s="1"/>
    </row>
    <row r="271" spans="15:15" x14ac:dyDescent="0.25">
      <c r="O271" s="1"/>
    </row>
    <row r="272" spans="15:15" x14ac:dyDescent="0.25">
      <c r="O272" s="1"/>
    </row>
    <row r="273" spans="15:15" x14ac:dyDescent="0.25">
      <c r="O273" s="1"/>
    </row>
    <row r="274" spans="15:15" x14ac:dyDescent="0.25">
      <c r="O274" s="1"/>
    </row>
    <row r="275" spans="15:15" x14ac:dyDescent="0.25">
      <c r="O275" s="1"/>
    </row>
    <row r="276" spans="15:15" x14ac:dyDescent="0.25">
      <c r="O276" s="1"/>
    </row>
    <row r="277" spans="15:15" x14ac:dyDescent="0.25">
      <c r="O277" s="1"/>
    </row>
    <row r="278" spans="15:15" x14ac:dyDescent="0.25">
      <c r="O278" s="1"/>
    </row>
    <row r="279" spans="15:15" x14ac:dyDescent="0.25">
      <c r="O279" s="1"/>
    </row>
    <row r="280" spans="15:15" x14ac:dyDescent="0.25">
      <c r="O280" s="1"/>
    </row>
    <row r="281" spans="15:15" x14ac:dyDescent="0.25">
      <c r="O281" s="1"/>
    </row>
    <row r="282" spans="15:15" x14ac:dyDescent="0.25">
      <c r="O282" s="1"/>
    </row>
    <row r="283" spans="15:15" x14ac:dyDescent="0.25">
      <c r="O283" s="1"/>
    </row>
    <row r="284" spans="15:15" x14ac:dyDescent="0.25">
      <c r="O284" s="1"/>
    </row>
    <row r="285" spans="15:15" x14ac:dyDescent="0.25">
      <c r="O285" s="1"/>
    </row>
    <row r="286" spans="15:15" x14ac:dyDescent="0.25">
      <c r="O286" s="1"/>
    </row>
    <row r="287" spans="15:15" x14ac:dyDescent="0.25">
      <c r="O287" s="1"/>
    </row>
    <row r="288" spans="15:15" x14ac:dyDescent="0.25">
      <c r="O288" s="1"/>
    </row>
    <row r="289" spans="15:15" x14ac:dyDescent="0.25">
      <c r="O289" s="1"/>
    </row>
    <row r="290" spans="15:15" x14ac:dyDescent="0.25">
      <c r="O290" s="1"/>
    </row>
    <row r="291" spans="15:15" x14ac:dyDescent="0.25">
      <c r="O291" s="1"/>
    </row>
    <row r="292" spans="15:15" x14ac:dyDescent="0.25">
      <c r="O292" s="1"/>
    </row>
    <row r="293" spans="15:15" x14ac:dyDescent="0.25">
      <c r="O293" s="1"/>
    </row>
    <row r="294" spans="15:15" x14ac:dyDescent="0.25">
      <c r="O294" s="1"/>
    </row>
    <row r="295" spans="15:15" x14ac:dyDescent="0.25">
      <c r="O295" s="1"/>
    </row>
    <row r="296" spans="15:15" x14ac:dyDescent="0.25">
      <c r="O296" s="1"/>
    </row>
    <row r="297" spans="15:15" x14ac:dyDescent="0.25">
      <c r="O297" s="1"/>
    </row>
    <row r="298" spans="15:15" x14ac:dyDescent="0.25">
      <c r="O298" s="1"/>
    </row>
    <row r="299" spans="15:15" x14ac:dyDescent="0.25">
      <c r="O299" s="1"/>
    </row>
    <row r="300" spans="15:15" x14ac:dyDescent="0.25">
      <c r="O300" s="1"/>
    </row>
    <row r="301" spans="15:15" x14ac:dyDescent="0.25">
      <c r="O301" s="1"/>
    </row>
    <row r="302" spans="15:15" x14ac:dyDescent="0.25">
      <c r="O302" s="1"/>
    </row>
    <row r="303" spans="15:15" x14ac:dyDescent="0.25">
      <c r="O303" s="1"/>
    </row>
    <row r="304" spans="15:15" x14ac:dyDescent="0.25">
      <c r="O304" s="1"/>
    </row>
    <row r="305" spans="15:15" x14ac:dyDescent="0.25">
      <c r="O305" s="1"/>
    </row>
    <row r="306" spans="15:15" x14ac:dyDescent="0.25">
      <c r="O306" s="1"/>
    </row>
    <row r="307" spans="15:15" x14ac:dyDescent="0.25">
      <c r="O307" s="1"/>
    </row>
    <row r="308" spans="15:15" x14ac:dyDescent="0.25">
      <c r="O308" s="1"/>
    </row>
    <row r="309" spans="15:15" x14ac:dyDescent="0.25">
      <c r="O309" s="1"/>
    </row>
    <row r="310" spans="15:15" x14ac:dyDescent="0.25">
      <c r="O310" s="1"/>
    </row>
    <row r="311" spans="15:15" x14ac:dyDescent="0.25">
      <c r="O311" s="1"/>
    </row>
    <row r="312" spans="15:15" x14ac:dyDescent="0.25">
      <c r="O312" s="1"/>
    </row>
    <row r="313" spans="15:15" x14ac:dyDescent="0.25">
      <c r="O313" s="1"/>
    </row>
    <row r="314" spans="15:15" x14ac:dyDescent="0.25">
      <c r="O314" s="1"/>
    </row>
    <row r="315" spans="15:15" x14ac:dyDescent="0.25">
      <c r="O315" s="1"/>
    </row>
    <row r="316" spans="15:15" x14ac:dyDescent="0.25">
      <c r="O316" s="1"/>
    </row>
    <row r="317" spans="15:15" x14ac:dyDescent="0.25">
      <c r="O317" s="1"/>
    </row>
    <row r="318" spans="15:15" x14ac:dyDescent="0.25">
      <c r="O318" s="1"/>
    </row>
    <row r="319" spans="15:15" x14ac:dyDescent="0.25">
      <c r="O319" s="1"/>
    </row>
    <row r="320" spans="15:15" x14ac:dyDescent="0.25">
      <c r="O320" s="1"/>
    </row>
    <row r="321" spans="15:15" x14ac:dyDescent="0.25">
      <c r="O321" s="1"/>
    </row>
    <row r="322" spans="15:15" x14ac:dyDescent="0.25">
      <c r="O322" s="1"/>
    </row>
    <row r="323" spans="15:15" x14ac:dyDescent="0.25">
      <c r="O323" s="1"/>
    </row>
    <row r="324" spans="15:15" x14ac:dyDescent="0.25">
      <c r="O324" s="1"/>
    </row>
    <row r="325" spans="15:15" x14ac:dyDescent="0.25">
      <c r="O325" s="1"/>
    </row>
    <row r="326" spans="15:15" x14ac:dyDescent="0.25">
      <c r="O326" s="1"/>
    </row>
    <row r="327" spans="15:15" x14ac:dyDescent="0.25">
      <c r="O327" s="1"/>
    </row>
    <row r="328" spans="15:15" x14ac:dyDescent="0.25">
      <c r="O328" s="1"/>
    </row>
    <row r="329" spans="15:15" x14ac:dyDescent="0.25">
      <c r="O329" s="1"/>
    </row>
    <row r="330" spans="15:15" x14ac:dyDescent="0.25">
      <c r="O330" s="1"/>
    </row>
    <row r="331" spans="15:15" x14ac:dyDescent="0.25">
      <c r="O331" s="1"/>
    </row>
    <row r="332" spans="15:15" x14ac:dyDescent="0.25">
      <c r="O332" s="1"/>
    </row>
    <row r="333" spans="15:15" x14ac:dyDescent="0.25">
      <c r="O333" s="1"/>
    </row>
    <row r="334" spans="15:15" x14ac:dyDescent="0.25">
      <c r="O334" s="1"/>
    </row>
    <row r="335" spans="15:15" x14ac:dyDescent="0.25">
      <c r="O335" s="1"/>
    </row>
    <row r="336" spans="15:15" x14ac:dyDescent="0.25">
      <c r="O336" s="1"/>
    </row>
    <row r="337" spans="15:15" x14ac:dyDescent="0.25">
      <c r="O337" s="1"/>
    </row>
    <row r="338" spans="15:15" x14ac:dyDescent="0.25">
      <c r="O338" s="1"/>
    </row>
    <row r="339" spans="15:15" x14ac:dyDescent="0.25">
      <c r="O339" s="1"/>
    </row>
    <row r="340" spans="15:15" x14ac:dyDescent="0.25">
      <c r="O340" s="1"/>
    </row>
    <row r="341" spans="15:15" x14ac:dyDescent="0.25">
      <c r="O341" s="1"/>
    </row>
    <row r="342" spans="15:15" x14ac:dyDescent="0.25">
      <c r="O342" s="1"/>
    </row>
    <row r="343" spans="15:15" x14ac:dyDescent="0.25">
      <c r="O343" s="1"/>
    </row>
    <row r="344" spans="15:15" x14ac:dyDescent="0.25">
      <c r="O344" s="1"/>
    </row>
    <row r="345" spans="15:15" x14ac:dyDescent="0.25">
      <c r="O345" s="1"/>
    </row>
    <row r="346" spans="15:15" x14ac:dyDescent="0.25">
      <c r="O346" s="1"/>
    </row>
    <row r="347" spans="15:15" x14ac:dyDescent="0.25">
      <c r="O347" s="1"/>
    </row>
    <row r="348" spans="15:15" x14ac:dyDescent="0.25">
      <c r="O348" s="1"/>
    </row>
    <row r="349" spans="15:15" x14ac:dyDescent="0.25">
      <c r="O349" s="1"/>
    </row>
    <row r="350" spans="15:15" x14ac:dyDescent="0.25">
      <c r="O350" s="1"/>
    </row>
    <row r="351" spans="15:15" x14ac:dyDescent="0.25">
      <c r="O351" s="1"/>
    </row>
    <row r="352" spans="15:15" x14ac:dyDescent="0.25">
      <c r="O352" s="1"/>
    </row>
    <row r="353" spans="15:15" x14ac:dyDescent="0.25">
      <c r="O353" s="1"/>
    </row>
    <row r="354" spans="15:15" x14ac:dyDescent="0.25">
      <c r="O354" s="1"/>
    </row>
    <row r="355" spans="15:15" x14ac:dyDescent="0.25">
      <c r="O355" s="1"/>
    </row>
    <row r="356" spans="15:15" x14ac:dyDescent="0.25">
      <c r="O356" s="1"/>
    </row>
    <row r="357" spans="15:15" x14ac:dyDescent="0.25">
      <c r="O357" s="1"/>
    </row>
    <row r="358" spans="15:15" x14ac:dyDescent="0.25">
      <c r="O358" s="1"/>
    </row>
    <row r="359" spans="15:15" x14ac:dyDescent="0.25">
      <c r="O359" s="1"/>
    </row>
    <row r="360" spans="15:15" x14ac:dyDescent="0.25">
      <c r="O360" s="1"/>
    </row>
    <row r="361" spans="15:15" x14ac:dyDescent="0.25">
      <c r="O361" s="1"/>
    </row>
    <row r="362" spans="15:15" x14ac:dyDescent="0.25">
      <c r="O362" s="1"/>
    </row>
    <row r="363" spans="15:15" x14ac:dyDescent="0.25">
      <c r="O363" s="1"/>
    </row>
    <row r="364" spans="15:15" x14ac:dyDescent="0.25">
      <c r="O364" s="1"/>
    </row>
    <row r="365" spans="15:15" x14ac:dyDescent="0.25">
      <c r="O365" s="1"/>
    </row>
    <row r="366" spans="15:15" x14ac:dyDescent="0.25">
      <c r="O366" s="1"/>
    </row>
    <row r="367" spans="15:15" x14ac:dyDescent="0.25">
      <c r="O367" s="1"/>
    </row>
    <row r="368" spans="15:15" x14ac:dyDescent="0.25">
      <c r="O368" s="1"/>
    </row>
    <row r="369" spans="15:15" x14ac:dyDescent="0.25">
      <c r="O369" s="1"/>
    </row>
    <row r="370" spans="15:15" x14ac:dyDescent="0.25">
      <c r="O370" s="1"/>
    </row>
    <row r="371" spans="15:15" x14ac:dyDescent="0.25">
      <c r="O371" s="1"/>
    </row>
    <row r="372" spans="15:15" x14ac:dyDescent="0.25">
      <c r="O372" s="1"/>
    </row>
    <row r="373" spans="15:15" x14ac:dyDescent="0.25">
      <c r="O373" s="1"/>
    </row>
    <row r="374" spans="15:15" x14ac:dyDescent="0.25">
      <c r="O374" s="1"/>
    </row>
    <row r="375" spans="15:15" x14ac:dyDescent="0.25">
      <c r="O375" s="1"/>
    </row>
    <row r="376" spans="15:15" x14ac:dyDescent="0.25">
      <c r="O376" s="1"/>
    </row>
    <row r="377" spans="15:15" x14ac:dyDescent="0.25">
      <c r="O377" s="1"/>
    </row>
    <row r="378" spans="15:15" x14ac:dyDescent="0.25">
      <c r="O378" s="1"/>
    </row>
    <row r="379" spans="15:15" x14ac:dyDescent="0.25">
      <c r="O379" s="1"/>
    </row>
    <row r="380" spans="15:15" x14ac:dyDescent="0.25">
      <c r="O380" s="1"/>
    </row>
    <row r="381" spans="15:15" x14ac:dyDescent="0.25">
      <c r="O381" s="1"/>
    </row>
    <row r="382" spans="15:15" x14ac:dyDescent="0.25">
      <c r="O382" s="1"/>
    </row>
    <row r="383" spans="15:15" x14ac:dyDescent="0.25">
      <c r="O383" s="1"/>
    </row>
    <row r="384" spans="15:15" x14ac:dyDescent="0.25">
      <c r="O384" s="1"/>
    </row>
    <row r="385" spans="15:15" x14ac:dyDescent="0.25">
      <c r="O385" s="1"/>
    </row>
    <row r="386" spans="15:15" x14ac:dyDescent="0.25">
      <c r="O386" s="1"/>
    </row>
    <row r="387" spans="15:15" x14ac:dyDescent="0.25">
      <c r="O387" s="1"/>
    </row>
    <row r="388" spans="15:15" x14ac:dyDescent="0.25">
      <c r="O388" s="1"/>
    </row>
    <row r="389" spans="15:15" x14ac:dyDescent="0.25">
      <c r="O389" s="1"/>
    </row>
    <row r="390" spans="15:15" x14ac:dyDescent="0.25">
      <c r="O390" s="1"/>
    </row>
    <row r="391" spans="15:15" x14ac:dyDescent="0.25">
      <c r="O391" s="1"/>
    </row>
    <row r="392" spans="15:15" x14ac:dyDescent="0.25">
      <c r="O392" s="1"/>
    </row>
    <row r="393" spans="15:15" x14ac:dyDescent="0.25">
      <c r="O393" s="1"/>
    </row>
    <row r="394" spans="15:15" x14ac:dyDescent="0.25">
      <c r="O394" s="1"/>
    </row>
    <row r="395" spans="15:15" x14ac:dyDescent="0.25">
      <c r="O395" s="1"/>
    </row>
    <row r="396" spans="15:15" x14ac:dyDescent="0.25">
      <c r="O396" s="1"/>
    </row>
    <row r="397" spans="15:15" x14ac:dyDescent="0.25">
      <c r="O397" s="1"/>
    </row>
    <row r="398" spans="15:15" x14ac:dyDescent="0.25">
      <c r="O398" s="1"/>
    </row>
    <row r="399" spans="15:15" x14ac:dyDescent="0.25">
      <c r="O399" s="1"/>
    </row>
    <row r="400" spans="15:15" x14ac:dyDescent="0.25">
      <c r="O400" s="1"/>
    </row>
    <row r="401" spans="15:15" x14ac:dyDescent="0.25">
      <c r="O401" s="1"/>
    </row>
    <row r="402" spans="15:15" x14ac:dyDescent="0.25">
      <c r="O402" s="1"/>
    </row>
    <row r="403" spans="15:15" x14ac:dyDescent="0.25">
      <c r="O403" s="1"/>
    </row>
    <row r="404" spans="15:15" x14ac:dyDescent="0.25">
      <c r="O404" s="1"/>
    </row>
    <row r="405" spans="15:15" x14ac:dyDescent="0.25">
      <c r="O405" s="1"/>
    </row>
    <row r="406" spans="15:15" x14ac:dyDescent="0.25">
      <c r="O406" s="1"/>
    </row>
    <row r="407" spans="15:15" x14ac:dyDescent="0.25">
      <c r="O407" s="1"/>
    </row>
    <row r="408" spans="15:15" x14ac:dyDescent="0.25">
      <c r="O408" s="1"/>
    </row>
    <row r="409" spans="15:15" x14ac:dyDescent="0.25">
      <c r="O409" s="1"/>
    </row>
    <row r="410" spans="15:15" x14ac:dyDescent="0.25">
      <c r="O410" s="1"/>
    </row>
    <row r="411" spans="15:15" x14ac:dyDescent="0.25">
      <c r="O411" s="1"/>
    </row>
    <row r="412" spans="15:15" x14ac:dyDescent="0.25">
      <c r="O412" s="1"/>
    </row>
    <row r="413" spans="15:15" x14ac:dyDescent="0.25">
      <c r="O413" s="1"/>
    </row>
    <row r="414" spans="15:15" x14ac:dyDescent="0.25">
      <c r="O414" s="1"/>
    </row>
    <row r="415" spans="15:15" x14ac:dyDescent="0.25">
      <c r="O415" s="1"/>
    </row>
    <row r="416" spans="15:15" x14ac:dyDescent="0.25">
      <c r="O416" s="1"/>
    </row>
    <row r="417" spans="15:15" x14ac:dyDescent="0.25">
      <c r="O417" s="1"/>
    </row>
    <row r="418" spans="15:15" x14ac:dyDescent="0.25">
      <c r="O418" s="1"/>
    </row>
    <row r="419" spans="15:15" x14ac:dyDescent="0.25">
      <c r="O419" s="1"/>
    </row>
    <row r="420" spans="15:15" x14ac:dyDescent="0.25">
      <c r="O420" s="1"/>
    </row>
    <row r="421" spans="15:15" x14ac:dyDescent="0.25">
      <c r="O421" s="1"/>
    </row>
    <row r="422" spans="15:15" x14ac:dyDescent="0.25">
      <c r="O422" s="1"/>
    </row>
    <row r="423" spans="15:15" x14ac:dyDescent="0.25">
      <c r="O423" s="1"/>
    </row>
    <row r="424" spans="15:15" x14ac:dyDescent="0.25">
      <c r="O424" s="1"/>
    </row>
    <row r="425" spans="15:15" x14ac:dyDescent="0.25">
      <c r="O425" s="1"/>
    </row>
    <row r="426" spans="15:15" x14ac:dyDescent="0.25">
      <c r="O426" s="1"/>
    </row>
    <row r="427" spans="15:15" x14ac:dyDescent="0.25">
      <c r="O427" s="1"/>
    </row>
    <row r="428" spans="15:15" x14ac:dyDescent="0.25">
      <c r="O428" s="1"/>
    </row>
    <row r="429" spans="15:15" x14ac:dyDescent="0.25">
      <c r="O429" s="1"/>
    </row>
    <row r="430" spans="15:15" x14ac:dyDescent="0.25">
      <c r="O430" s="1"/>
    </row>
    <row r="431" spans="15:15" x14ac:dyDescent="0.25">
      <c r="O431" s="1"/>
    </row>
    <row r="432" spans="15:15" x14ac:dyDescent="0.25">
      <c r="O432" s="1"/>
    </row>
    <row r="433" spans="15:15" x14ac:dyDescent="0.25">
      <c r="O433" s="1"/>
    </row>
    <row r="434" spans="15:15" x14ac:dyDescent="0.25">
      <c r="O434" s="1"/>
    </row>
    <row r="435" spans="15:15" x14ac:dyDescent="0.25">
      <c r="O435" s="1"/>
    </row>
    <row r="436" spans="15:15" x14ac:dyDescent="0.25">
      <c r="O436" s="1"/>
    </row>
    <row r="437" spans="15:15" x14ac:dyDescent="0.25">
      <c r="O437" s="1"/>
    </row>
    <row r="438" spans="15:15" x14ac:dyDescent="0.25">
      <c r="O438" s="1"/>
    </row>
    <row r="439" spans="15:15" x14ac:dyDescent="0.25">
      <c r="O439" s="1"/>
    </row>
    <row r="440" spans="15:15" x14ac:dyDescent="0.25">
      <c r="O440" s="1"/>
    </row>
    <row r="441" spans="15:15" x14ac:dyDescent="0.25">
      <c r="O441" s="1"/>
    </row>
    <row r="442" spans="15:15" x14ac:dyDescent="0.25">
      <c r="O442" s="1"/>
    </row>
    <row r="443" spans="15:15" x14ac:dyDescent="0.25">
      <c r="O443" s="1"/>
    </row>
    <row r="444" spans="15:15" x14ac:dyDescent="0.25">
      <c r="O444" s="1"/>
    </row>
    <row r="445" spans="15:15" x14ac:dyDescent="0.25">
      <c r="O445" s="1"/>
    </row>
    <row r="446" spans="15:15" x14ac:dyDescent="0.25">
      <c r="O446" s="1"/>
    </row>
    <row r="447" spans="15:15" x14ac:dyDescent="0.25">
      <c r="O447" s="1"/>
    </row>
    <row r="448" spans="15:15" x14ac:dyDescent="0.25">
      <c r="O448" s="1"/>
    </row>
    <row r="449" spans="15:15" x14ac:dyDescent="0.25">
      <c r="O449" s="1"/>
    </row>
    <row r="450" spans="15:15" x14ac:dyDescent="0.25">
      <c r="O450" s="1"/>
    </row>
    <row r="451" spans="15:15" x14ac:dyDescent="0.25">
      <c r="O451" s="1"/>
    </row>
    <row r="452" spans="15:15" x14ac:dyDescent="0.25">
      <c r="O452" s="1"/>
    </row>
    <row r="453" spans="15:15" x14ac:dyDescent="0.25">
      <c r="O453" s="1"/>
    </row>
    <row r="454" spans="15:15" x14ac:dyDescent="0.25">
      <c r="O454" s="1"/>
    </row>
    <row r="455" spans="15:15" x14ac:dyDescent="0.25">
      <c r="O455" s="1"/>
    </row>
    <row r="456" spans="15:15" x14ac:dyDescent="0.25">
      <c r="O456" s="1"/>
    </row>
    <row r="457" spans="15:15" x14ac:dyDescent="0.25">
      <c r="O457" s="1"/>
    </row>
    <row r="458" spans="15:15" x14ac:dyDescent="0.25">
      <c r="O458" s="1"/>
    </row>
    <row r="459" spans="15:15" x14ac:dyDescent="0.25">
      <c r="O459" s="1"/>
    </row>
    <row r="460" spans="15:15" x14ac:dyDescent="0.25">
      <c r="O460" s="1"/>
    </row>
    <row r="461" spans="15:15" x14ac:dyDescent="0.25">
      <c r="O461" s="1"/>
    </row>
    <row r="462" spans="15:15" x14ac:dyDescent="0.25">
      <c r="O462" s="1"/>
    </row>
    <row r="463" spans="15:15" x14ac:dyDescent="0.25">
      <c r="O463" s="1"/>
    </row>
    <row r="464" spans="15:15" x14ac:dyDescent="0.25">
      <c r="O464" s="1"/>
    </row>
    <row r="465" spans="15:15" x14ac:dyDescent="0.25">
      <c r="O465" s="1"/>
    </row>
    <row r="466" spans="15:15" x14ac:dyDescent="0.25">
      <c r="O466" s="1"/>
    </row>
    <row r="467" spans="15:15" x14ac:dyDescent="0.25">
      <c r="O467" s="1"/>
    </row>
    <row r="468" spans="15:15" x14ac:dyDescent="0.25">
      <c r="O468" s="1"/>
    </row>
    <row r="469" spans="15:15" x14ac:dyDescent="0.25">
      <c r="O469" s="1"/>
    </row>
    <row r="470" spans="15:15" x14ac:dyDescent="0.25">
      <c r="O470" s="1"/>
    </row>
    <row r="471" spans="15:15" x14ac:dyDescent="0.25">
      <c r="O471" s="1"/>
    </row>
    <row r="472" spans="15:15" x14ac:dyDescent="0.25">
      <c r="O472" s="1"/>
    </row>
    <row r="473" spans="15:15" x14ac:dyDescent="0.25">
      <c r="O473" s="1"/>
    </row>
    <row r="474" spans="15:15" x14ac:dyDescent="0.25">
      <c r="O474" s="1"/>
    </row>
    <row r="475" spans="15:15" x14ac:dyDescent="0.25">
      <c r="O475" s="1"/>
    </row>
    <row r="476" spans="15:15" x14ac:dyDescent="0.25">
      <c r="O476" s="1"/>
    </row>
    <row r="477" spans="15:15" x14ac:dyDescent="0.25">
      <c r="O477" s="1"/>
    </row>
    <row r="478" spans="15:15" x14ac:dyDescent="0.25">
      <c r="O478" s="1"/>
    </row>
    <row r="479" spans="15:15" x14ac:dyDescent="0.25">
      <c r="O479" s="1"/>
    </row>
    <row r="480" spans="15:15" x14ac:dyDescent="0.25">
      <c r="O480" s="1"/>
    </row>
    <row r="481" spans="15:15" x14ac:dyDescent="0.25">
      <c r="O481" s="1"/>
    </row>
    <row r="482" spans="15:15" x14ac:dyDescent="0.25">
      <c r="O482" s="1"/>
    </row>
    <row r="483" spans="15:15" x14ac:dyDescent="0.25">
      <c r="O483" s="1"/>
    </row>
    <row r="484" spans="15:15" x14ac:dyDescent="0.25">
      <c r="O484" s="1"/>
    </row>
    <row r="485" spans="15:15" x14ac:dyDescent="0.25">
      <c r="O485" s="1"/>
    </row>
    <row r="486" spans="15:15" x14ac:dyDescent="0.25">
      <c r="O486" s="1"/>
    </row>
    <row r="487" spans="15:15" x14ac:dyDescent="0.25">
      <c r="O487" s="1"/>
    </row>
    <row r="488" spans="15:15" x14ac:dyDescent="0.25">
      <c r="O488" s="1"/>
    </row>
    <row r="489" spans="15:15" x14ac:dyDescent="0.25">
      <c r="O489" s="1"/>
    </row>
    <row r="490" spans="15:15" x14ac:dyDescent="0.25">
      <c r="O490" s="1"/>
    </row>
    <row r="491" spans="15:15" x14ac:dyDescent="0.25">
      <c r="O491" s="1"/>
    </row>
    <row r="492" spans="15:15" x14ac:dyDescent="0.25">
      <c r="O492" s="1"/>
    </row>
    <row r="493" spans="15:15" x14ac:dyDescent="0.25">
      <c r="O493" s="1"/>
    </row>
    <row r="494" spans="15:15" x14ac:dyDescent="0.25">
      <c r="O494" s="1"/>
    </row>
    <row r="495" spans="15:15" x14ac:dyDescent="0.25">
      <c r="O495" s="1"/>
    </row>
    <row r="496" spans="15:15" x14ac:dyDescent="0.25">
      <c r="O496" s="1"/>
    </row>
    <row r="497" spans="15:15" x14ac:dyDescent="0.25">
      <c r="O497" s="1"/>
    </row>
    <row r="498" spans="15:15" x14ac:dyDescent="0.25">
      <c r="O498" s="1"/>
    </row>
    <row r="499" spans="15:15" x14ac:dyDescent="0.25">
      <c r="O499" s="1"/>
    </row>
    <row r="500" spans="15:15" x14ac:dyDescent="0.25">
      <c r="O500" s="1"/>
    </row>
    <row r="501" spans="15:15" x14ac:dyDescent="0.25">
      <c r="O501" s="1"/>
    </row>
    <row r="502" spans="15:15" x14ac:dyDescent="0.25">
      <c r="O502" s="1"/>
    </row>
    <row r="503" spans="15:15" x14ac:dyDescent="0.25">
      <c r="O503" s="1"/>
    </row>
    <row r="504" spans="15:15" x14ac:dyDescent="0.25">
      <c r="O504" s="1"/>
    </row>
    <row r="505" spans="15:15" x14ac:dyDescent="0.25">
      <c r="O505" s="1"/>
    </row>
    <row r="506" spans="15:15" x14ac:dyDescent="0.25">
      <c r="O506" s="1"/>
    </row>
    <row r="507" spans="15:15" x14ac:dyDescent="0.25">
      <c r="O507" s="1"/>
    </row>
    <row r="508" spans="15:15" x14ac:dyDescent="0.25">
      <c r="O508" s="1"/>
    </row>
    <row r="509" spans="15:15" x14ac:dyDescent="0.25">
      <c r="O509" s="1"/>
    </row>
    <row r="510" spans="15:15" x14ac:dyDescent="0.25">
      <c r="O510" s="1"/>
    </row>
    <row r="511" spans="15:15" x14ac:dyDescent="0.25">
      <c r="O511" s="1"/>
    </row>
    <row r="512" spans="15:15" x14ac:dyDescent="0.25">
      <c r="O512" s="1"/>
    </row>
    <row r="513" spans="15:15" x14ac:dyDescent="0.25">
      <c r="O513" s="1"/>
    </row>
    <row r="514" spans="15:15" x14ac:dyDescent="0.25">
      <c r="O514" s="1"/>
    </row>
    <row r="515" spans="15:15" x14ac:dyDescent="0.25">
      <c r="O515" s="1"/>
    </row>
    <row r="516" spans="15:15" x14ac:dyDescent="0.25">
      <c r="O516" s="1"/>
    </row>
    <row r="517" spans="15:15" x14ac:dyDescent="0.25">
      <c r="O517" s="1"/>
    </row>
    <row r="518" spans="15:15" x14ac:dyDescent="0.25">
      <c r="O518" s="1"/>
    </row>
    <row r="519" spans="15:15" x14ac:dyDescent="0.25">
      <c r="O519" s="1"/>
    </row>
    <row r="520" spans="15:15" x14ac:dyDescent="0.25">
      <c r="O520" s="1"/>
    </row>
    <row r="521" spans="15:15" x14ac:dyDescent="0.25">
      <c r="O521" s="1"/>
    </row>
    <row r="522" spans="15:15" x14ac:dyDescent="0.25">
      <c r="O522" s="1"/>
    </row>
    <row r="523" spans="15:15" x14ac:dyDescent="0.25">
      <c r="O523" s="1"/>
    </row>
    <row r="524" spans="15:15" x14ac:dyDescent="0.25">
      <c r="O524" s="1"/>
    </row>
    <row r="525" spans="15:15" x14ac:dyDescent="0.25">
      <c r="O525" s="1"/>
    </row>
    <row r="526" spans="15:15" x14ac:dyDescent="0.25">
      <c r="O526" s="1"/>
    </row>
    <row r="527" spans="15:15" x14ac:dyDescent="0.25">
      <c r="O527" s="1"/>
    </row>
    <row r="528" spans="15:15" x14ac:dyDescent="0.25">
      <c r="O528" s="1"/>
    </row>
    <row r="529" spans="15:15" x14ac:dyDescent="0.25">
      <c r="O529" s="1"/>
    </row>
    <row r="530" spans="15:15" x14ac:dyDescent="0.25">
      <c r="O530" s="1"/>
    </row>
    <row r="531" spans="15:15" x14ac:dyDescent="0.25">
      <c r="O531" s="1"/>
    </row>
    <row r="532" spans="15:15" x14ac:dyDescent="0.25">
      <c r="O532" s="1"/>
    </row>
    <row r="533" spans="15:15" x14ac:dyDescent="0.25">
      <c r="O533" s="1"/>
    </row>
    <row r="534" spans="15:15" x14ac:dyDescent="0.25">
      <c r="O534" s="1"/>
    </row>
    <row r="535" spans="15:15" x14ac:dyDescent="0.25">
      <c r="O535" s="1"/>
    </row>
    <row r="536" spans="15:15" x14ac:dyDescent="0.25">
      <c r="O536" s="1"/>
    </row>
    <row r="537" spans="15:15" x14ac:dyDescent="0.25">
      <c r="O537" s="1"/>
    </row>
    <row r="538" spans="15:15" x14ac:dyDescent="0.25">
      <c r="O538" s="1"/>
    </row>
    <row r="539" spans="15:15" x14ac:dyDescent="0.25">
      <c r="O539" s="1"/>
    </row>
    <row r="540" spans="15:15" x14ac:dyDescent="0.25">
      <c r="O540" s="1"/>
    </row>
    <row r="541" spans="15:15" x14ac:dyDescent="0.25">
      <c r="O541" s="1"/>
    </row>
    <row r="542" spans="15:15" x14ac:dyDescent="0.25">
      <c r="O542" s="1"/>
    </row>
    <row r="543" spans="15:15" x14ac:dyDescent="0.25">
      <c r="O543" s="1"/>
    </row>
    <row r="544" spans="15:15" x14ac:dyDescent="0.25">
      <c r="O544" s="1"/>
    </row>
    <row r="545" spans="15:15" x14ac:dyDescent="0.25">
      <c r="O545" s="1"/>
    </row>
    <row r="546" spans="15:15" x14ac:dyDescent="0.25">
      <c r="O546" s="1"/>
    </row>
    <row r="547" spans="15:15" x14ac:dyDescent="0.25">
      <c r="O547" s="1"/>
    </row>
    <row r="548" spans="15:15" x14ac:dyDescent="0.25">
      <c r="O548" s="1"/>
    </row>
    <row r="549" spans="15:15" x14ac:dyDescent="0.25">
      <c r="O549" s="1"/>
    </row>
  </sheetData>
  <mergeCells count="8">
    <mergeCell ref="P19:P24"/>
    <mergeCell ref="E2:G2"/>
    <mergeCell ref="H2:K2"/>
    <mergeCell ref="L2:N2"/>
    <mergeCell ref="P14:P15"/>
    <mergeCell ref="P7:P13"/>
    <mergeCell ref="P16:P18"/>
    <mergeCell ref="P4:P6"/>
  </mergeCells>
  <pageMargins left="0.7" right="0.7" top="0.75" bottom="0.75" header="0.3" footer="0.3"/>
  <pageSetup paperSize="9" orientation="portrait" r:id="rId1"/>
  <ignoredErrors>
    <ignoredError sqref="E3:K3 C7:C13 C14:C24" numberStoredAsText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0"/>
  <sheetViews>
    <sheetView zoomScale="85" zoomScaleNormal="85" workbookViewId="0">
      <selection activeCell="C3" sqref="C3"/>
    </sheetView>
  </sheetViews>
  <sheetFormatPr defaultRowHeight="15" x14ac:dyDescent="0.25"/>
  <cols>
    <col min="1" max="1" width="13.140625" customWidth="1"/>
    <col min="2" max="2" width="8" bestFit="1" customWidth="1"/>
    <col min="3" max="3" width="19.85546875" customWidth="1"/>
    <col min="11" max="11" width="8.7109375" customWidth="1"/>
    <col min="19" max="19" width="7" bestFit="1" customWidth="1"/>
    <col min="20" max="20" width="4" customWidth="1"/>
    <col min="21" max="26" width="12.85546875" customWidth="1"/>
  </cols>
  <sheetData>
    <row r="1" spans="1:26" x14ac:dyDescent="0.25">
      <c r="C1" s="328" t="s">
        <v>251</v>
      </c>
      <c r="D1" t="s">
        <v>252</v>
      </c>
    </row>
    <row r="2" spans="1:26" x14ac:dyDescent="0.25">
      <c r="C2" s="328" t="s">
        <v>265</v>
      </c>
      <c r="D2" t="s">
        <v>253</v>
      </c>
    </row>
    <row r="4" spans="1:26" x14ac:dyDescent="0.25">
      <c r="U4" s="360" t="s">
        <v>256</v>
      </c>
      <c r="V4" s="360" t="s">
        <v>257</v>
      </c>
      <c r="W4" s="360" t="s">
        <v>258</v>
      </c>
      <c r="X4" s="360" t="s">
        <v>259</v>
      </c>
      <c r="Y4" s="360" t="s">
        <v>260</v>
      </c>
      <c r="Z4" s="360" t="s">
        <v>261</v>
      </c>
    </row>
    <row r="5" spans="1:26" x14ac:dyDescent="0.25">
      <c r="D5" s="348" t="s">
        <v>249</v>
      </c>
      <c r="E5" s="349"/>
      <c r="F5" s="349"/>
      <c r="G5" s="349"/>
      <c r="H5" s="349"/>
      <c r="I5" s="349"/>
      <c r="J5" s="349"/>
      <c r="K5" s="349"/>
      <c r="L5" s="349"/>
      <c r="M5" s="349"/>
      <c r="N5" s="349"/>
      <c r="O5" s="350"/>
      <c r="P5" s="348" t="s">
        <v>245</v>
      </c>
      <c r="Q5" s="349"/>
      <c r="R5" s="349"/>
      <c r="S5" s="350"/>
      <c r="U5" s="360"/>
      <c r="V5" s="360"/>
      <c r="W5" s="360"/>
      <c r="X5" s="360"/>
      <c r="Y5" s="360"/>
      <c r="Z5" s="360"/>
    </row>
    <row r="6" spans="1:26" s="194" customFormat="1" ht="15" customHeight="1" x14ac:dyDescent="0.25">
      <c r="A6" s="208" t="s">
        <v>255</v>
      </c>
      <c r="B6" s="272" t="s">
        <v>254</v>
      </c>
      <c r="C6" s="327" t="s">
        <v>8</v>
      </c>
      <c r="D6" s="208">
        <v>201612</v>
      </c>
      <c r="E6" s="272">
        <v>201701</v>
      </c>
      <c r="F6" s="272">
        <v>201702</v>
      </c>
      <c r="G6" s="272">
        <v>201703</v>
      </c>
      <c r="H6" s="272">
        <v>201704</v>
      </c>
      <c r="I6" s="272">
        <v>201705</v>
      </c>
      <c r="J6" s="272">
        <v>201706</v>
      </c>
      <c r="K6" s="272">
        <v>201707</v>
      </c>
      <c r="L6" s="272">
        <v>201708</v>
      </c>
      <c r="M6" s="272">
        <v>201709</v>
      </c>
      <c r="N6" s="272">
        <v>201710</v>
      </c>
      <c r="O6" s="327">
        <v>201711</v>
      </c>
      <c r="P6" s="329" t="s">
        <v>12</v>
      </c>
      <c r="Q6" s="330" t="s">
        <v>246</v>
      </c>
      <c r="R6" s="330" t="s">
        <v>247</v>
      </c>
      <c r="S6" s="331" t="s">
        <v>248</v>
      </c>
      <c r="U6" s="360"/>
      <c r="V6" s="360"/>
      <c r="W6" s="360"/>
      <c r="X6" s="360"/>
      <c r="Y6" s="360"/>
      <c r="Z6" s="360"/>
    </row>
    <row r="7" spans="1:26" x14ac:dyDescent="0.25">
      <c r="A7" s="320" t="s">
        <v>243</v>
      </c>
      <c r="B7" s="314">
        <v>1646092</v>
      </c>
      <c r="C7" s="321" t="s">
        <v>109</v>
      </c>
      <c r="D7" s="313">
        <v>5</v>
      </c>
      <c r="E7" s="314">
        <v>7</v>
      </c>
      <c r="F7" s="314">
        <v>1</v>
      </c>
      <c r="G7" s="314">
        <v>5</v>
      </c>
      <c r="H7" s="314">
        <v>3</v>
      </c>
      <c r="I7" s="314">
        <v>1</v>
      </c>
      <c r="J7" s="314">
        <v>6</v>
      </c>
      <c r="K7" s="314">
        <v>5</v>
      </c>
      <c r="L7" s="314">
        <v>7</v>
      </c>
      <c r="M7" s="314">
        <v>3</v>
      </c>
      <c r="N7" s="314">
        <v>5</v>
      </c>
      <c r="O7" s="315">
        <v>1</v>
      </c>
      <c r="P7" s="308">
        <v>1</v>
      </c>
      <c r="Q7" s="308">
        <v>6</v>
      </c>
      <c r="R7" s="308">
        <v>1</v>
      </c>
      <c r="S7" s="309">
        <v>2</v>
      </c>
      <c r="U7" s="332">
        <f t="shared" ref="U7:U13" si="0">AVERAGE($D$7:$O$13)</f>
        <v>111.4047619047619</v>
      </c>
      <c r="V7" s="334">
        <f t="shared" ref="V7:V13" si="1">AVERAGE($D$14:$O$14)</f>
        <v>779.83333333333337</v>
      </c>
      <c r="W7" s="332">
        <f t="shared" ref="W7:W13" si="2">AVERAGE($S$7:$S$13)</f>
        <v>101.57142857142857</v>
      </c>
      <c r="X7" s="334">
        <f t="shared" ref="X7:X13" si="3">SUM($S$7:$S$13)</f>
        <v>711</v>
      </c>
      <c r="Y7" s="333">
        <f>ABS((U7-W7)/W7)</f>
        <v>9.6812001875292972E-2</v>
      </c>
      <c r="Z7" s="335">
        <f>ABS((V7-X7)/X7)</f>
        <v>9.6812001875293069E-2</v>
      </c>
    </row>
    <row r="8" spans="1:26" x14ac:dyDescent="0.25">
      <c r="A8" s="322" t="s">
        <v>243</v>
      </c>
      <c r="B8" s="1" t="s">
        <v>244</v>
      </c>
      <c r="C8" s="323" t="s">
        <v>36</v>
      </c>
      <c r="D8" s="316">
        <v>15</v>
      </c>
      <c r="E8" s="1">
        <v>19</v>
      </c>
      <c r="F8" s="1">
        <v>73</v>
      </c>
      <c r="G8" s="1">
        <v>487</v>
      </c>
      <c r="H8" s="1">
        <v>93</v>
      </c>
      <c r="I8" s="1">
        <v>95</v>
      </c>
      <c r="J8" s="1">
        <v>103</v>
      </c>
      <c r="K8" s="1">
        <v>99</v>
      </c>
      <c r="L8" s="1">
        <v>52</v>
      </c>
      <c r="M8" s="1">
        <v>74</v>
      </c>
      <c r="N8" s="1">
        <v>26</v>
      </c>
      <c r="O8" s="317">
        <v>13</v>
      </c>
      <c r="P8" s="308">
        <v>13</v>
      </c>
      <c r="Q8" s="308">
        <v>9</v>
      </c>
      <c r="R8" s="308">
        <v>170</v>
      </c>
      <c r="S8" s="309">
        <v>96</v>
      </c>
      <c r="U8" s="332">
        <f t="shared" si="0"/>
        <v>111.4047619047619</v>
      </c>
      <c r="V8" s="334">
        <f t="shared" si="1"/>
        <v>779.83333333333337</v>
      </c>
      <c r="W8" s="332">
        <f t="shared" si="2"/>
        <v>101.57142857142857</v>
      </c>
      <c r="X8" s="334">
        <f t="shared" si="3"/>
        <v>711</v>
      </c>
      <c r="Y8" s="333">
        <f t="shared" ref="Y8:Y13" si="4">ABS((U8-W8)/W8)</f>
        <v>9.6812001875292972E-2</v>
      </c>
      <c r="Z8" s="335">
        <f t="shared" ref="Z8:Z13" si="5">ABS((V8-X8)/X8)</f>
        <v>9.6812001875293069E-2</v>
      </c>
    </row>
    <row r="9" spans="1:26" x14ac:dyDescent="0.25">
      <c r="A9" s="322" t="s">
        <v>243</v>
      </c>
      <c r="B9" s="1" t="s">
        <v>244</v>
      </c>
      <c r="C9" s="323" t="s">
        <v>97</v>
      </c>
      <c r="D9" s="316">
        <v>73</v>
      </c>
      <c r="E9" s="1">
        <v>183</v>
      </c>
      <c r="F9" s="1">
        <v>141</v>
      </c>
      <c r="G9" s="1">
        <v>189</v>
      </c>
      <c r="H9" s="1">
        <v>59</v>
      </c>
      <c r="I9" s="1">
        <v>44</v>
      </c>
      <c r="J9" s="1">
        <v>21</v>
      </c>
      <c r="K9" s="1">
        <v>38</v>
      </c>
      <c r="L9" s="1">
        <v>39</v>
      </c>
      <c r="M9" s="1">
        <v>33</v>
      </c>
      <c r="N9" s="1">
        <v>110</v>
      </c>
      <c r="O9" s="317">
        <v>111</v>
      </c>
      <c r="P9" s="308">
        <v>111</v>
      </c>
      <c r="Q9" s="308">
        <v>112</v>
      </c>
      <c r="R9" s="308">
        <v>114</v>
      </c>
      <c r="S9" s="309">
        <v>72</v>
      </c>
      <c r="U9" s="332">
        <f t="shared" si="0"/>
        <v>111.4047619047619</v>
      </c>
      <c r="V9" s="334">
        <f t="shared" si="1"/>
        <v>779.83333333333337</v>
      </c>
      <c r="W9" s="332">
        <f t="shared" si="2"/>
        <v>101.57142857142857</v>
      </c>
      <c r="X9" s="334">
        <f t="shared" si="3"/>
        <v>711</v>
      </c>
      <c r="Y9" s="333">
        <f t="shared" si="4"/>
        <v>9.6812001875292972E-2</v>
      </c>
      <c r="Z9" s="335">
        <f t="shared" si="5"/>
        <v>9.6812001875293069E-2</v>
      </c>
    </row>
    <row r="10" spans="1:26" x14ac:dyDescent="0.25">
      <c r="A10" s="322" t="s">
        <v>243</v>
      </c>
      <c r="B10" s="1" t="s">
        <v>244</v>
      </c>
      <c r="C10" s="323" t="s">
        <v>46</v>
      </c>
      <c r="D10" s="316">
        <v>106</v>
      </c>
      <c r="E10" s="1">
        <v>138</v>
      </c>
      <c r="F10" s="1">
        <v>145</v>
      </c>
      <c r="G10" s="1">
        <v>184</v>
      </c>
      <c r="H10" s="1">
        <v>180</v>
      </c>
      <c r="I10" s="1">
        <v>214</v>
      </c>
      <c r="J10" s="1">
        <v>182</v>
      </c>
      <c r="K10" s="1">
        <v>218</v>
      </c>
      <c r="L10" s="1">
        <v>227</v>
      </c>
      <c r="M10" s="1">
        <v>1106</v>
      </c>
      <c r="N10" s="1">
        <v>225</v>
      </c>
      <c r="O10" s="317">
        <v>203</v>
      </c>
      <c r="P10" s="308">
        <v>203</v>
      </c>
      <c r="Q10" s="308">
        <v>198</v>
      </c>
      <c r="R10" s="308">
        <v>127</v>
      </c>
      <c r="S10" s="309">
        <v>168</v>
      </c>
      <c r="U10" s="332">
        <f t="shared" si="0"/>
        <v>111.4047619047619</v>
      </c>
      <c r="V10" s="334">
        <f t="shared" si="1"/>
        <v>779.83333333333337</v>
      </c>
      <c r="W10" s="332">
        <f t="shared" si="2"/>
        <v>101.57142857142857</v>
      </c>
      <c r="X10" s="334">
        <f t="shared" si="3"/>
        <v>711</v>
      </c>
      <c r="Y10" s="333">
        <f t="shared" si="4"/>
        <v>9.6812001875292972E-2</v>
      </c>
      <c r="Z10" s="335">
        <f t="shared" si="5"/>
        <v>9.6812001875293069E-2</v>
      </c>
    </row>
    <row r="11" spans="1:26" x14ac:dyDescent="0.25">
      <c r="A11" s="322" t="s">
        <v>243</v>
      </c>
      <c r="B11" s="1" t="s">
        <v>244</v>
      </c>
      <c r="C11" s="323" t="s">
        <v>41</v>
      </c>
      <c r="D11" s="316">
        <v>91</v>
      </c>
      <c r="E11" s="1">
        <v>93</v>
      </c>
      <c r="F11" s="1">
        <v>65</v>
      </c>
      <c r="G11" s="1">
        <v>45</v>
      </c>
      <c r="H11" s="1">
        <v>55</v>
      </c>
      <c r="I11" s="1">
        <v>46</v>
      </c>
      <c r="J11" s="1">
        <v>60</v>
      </c>
      <c r="K11" s="1">
        <v>75</v>
      </c>
      <c r="L11" s="1">
        <v>47</v>
      </c>
      <c r="M11" s="1">
        <v>44</v>
      </c>
      <c r="N11" s="1">
        <v>127</v>
      </c>
      <c r="O11" s="317">
        <v>80</v>
      </c>
      <c r="P11" s="308">
        <v>80</v>
      </c>
      <c r="Q11" s="308">
        <v>88</v>
      </c>
      <c r="R11" s="308">
        <v>80</v>
      </c>
      <c r="S11" s="309">
        <v>67</v>
      </c>
      <c r="U11" s="332">
        <f t="shared" si="0"/>
        <v>111.4047619047619</v>
      </c>
      <c r="V11" s="334">
        <f t="shared" si="1"/>
        <v>779.83333333333337</v>
      </c>
      <c r="W11" s="332">
        <f t="shared" si="2"/>
        <v>101.57142857142857</v>
      </c>
      <c r="X11" s="334">
        <f t="shared" si="3"/>
        <v>711</v>
      </c>
      <c r="Y11" s="333">
        <f t="shared" si="4"/>
        <v>9.6812001875292972E-2</v>
      </c>
      <c r="Z11" s="335">
        <f t="shared" si="5"/>
        <v>9.6812001875293069E-2</v>
      </c>
    </row>
    <row r="12" spans="1:26" x14ac:dyDescent="0.25">
      <c r="A12" s="322" t="s">
        <v>243</v>
      </c>
      <c r="B12" s="1" t="s">
        <v>244</v>
      </c>
      <c r="C12" s="323" t="s">
        <v>227</v>
      </c>
      <c r="D12" s="316">
        <v>38</v>
      </c>
      <c r="E12" s="1">
        <v>45</v>
      </c>
      <c r="F12" s="1">
        <v>63</v>
      </c>
      <c r="G12" s="1">
        <v>87</v>
      </c>
      <c r="H12" s="1">
        <v>47</v>
      </c>
      <c r="I12" s="1">
        <v>40</v>
      </c>
      <c r="J12" s="1">
        <v>32</v>
      </c>
      <c r="K12" s="1">
        <v>33</v>
      </c>
      <c r="L12" s="1">
        <v>65</v>
      </c>
      <c r="M12" s="1">
        <v>119</v>
      </c>
      <c r="N12" s="1">
        <v>157</v>
      </c>
      <c r="O12" s="317">
        <v>211</v>
      </c>
      <c r="P12" s="308">
        <v>211</v>
      </c>
      <c r="Q12" s="308">
        <v>143</v>
      </c>
      <c r="R12" s="308">
        <v>246</v>
      </c>
      <c r="S12" s="309">
        <v>194</v>
      </c>
      <c r="U12" s="332">
        <f t="shared" si="0"/>
        <v>111.4047619047619</v>
      </c>
      <c r="V12" s="334">
        <f t="shared" si="1"/>
        <v>779.83333333333337</v>
      </c>
      <c r="W12" s="332">
        <f t="shared" si="2"/>
        <v>101.57142857142857</v>
      </c>
      <c r="X12" s="334">
        <f t="shared" si="3"/>
        <v>711</v>
      </c>
      <c r="Y12" s="333">
        <f t="shared" si="4"/>
        <v>9.6812001875292972E-2</v>
      </c>
      <c r="Z12" s="335">
        <f t="shared" si="5"/>
        <v>9.6812001875293069E-2</v>
      </c>
    </row>
    <row r="13" spans="1:26" x14ac:dyDescent="0.25">
      <c r="A13" s="324" t="s">
        <v>243</v>
      </c>
      <c r="B13" s="325" t="s">
        <v>244</v>
      </c>
      <c r="C13" s="326" t="s">
        <v>108</v>
      </c>
      <c r="D13" s="192">
        <v>27</v>
      </c>
      <c r="E13" s="318">
        <v>78</v>
      </c>
      <c r="F13" s="318">
        <v>54</v>
      </c>
      <c r="G13" s="318">
        <v>51</v>
      </c>
      <c r="H13" s="318">
        <v>43</v>
      </c>
      <c r="I13" s="318">
        <v>264</v>
      </c>
      <c r="J13" s="318">
        <v>445</v>
      </c>
      <c r="K13" s="318">
        <v>288</v>
      </c>
      <c r="L13" s="318">
        <v>290</v>
      </c>
      <c r="M13" s="318">
        <v>363</v>
      </c>
      <c r="N13" s="318">
        <v>166</v>
      </c>
      <c r="O13" s="319">
        <v>157</v>
      </c>
      <c r="P13" s="310">
        <v>157</v>
      </c>
      <c r="Q13" s="310">
        <v>89</v>
      </c>
      <c r="R13" s="310">
        <v>134</v>
      </c>
      <c r="S13" s="311">
        <v>112</v>
      </c>
      <c r="U13" s="332">
        <f t="shared" si="0"/>
        <v>111.4047619047619</v>
      </c>
      <c r="V13" s="334">
        <f t="shared" si="1"/>
        <v>779.83333333333337</v>
      </c>
      <c r="W13" s="332">
        <f t="shared" si="2"/>
        <v>101.57142857142857</v>
      </c>
      <c r="X13" s="334">
        <f t="shared" si="3"/>
        <v>711</v>
      </c>
      <c r="Y13" s="333">
        <f t="shared" si="4"/>
        <v>9.6812001875292972E-2</v>
      </c>
      <c r="Z13" s="335">
        <f t="shared" si="5"/>
        <v>9.6812001875293069E-2</v>
      </c>
    </row>
    <row r="14" spans="1:26" x14ac:dyDescent="0.25">
      <c r="C14" t="s">
        <v>250</v>
      </c>
      <c r="D14">
        <f t="shared" ref="D14:O14" si="6">SUM(D7:D13)</f>
        <v>355</v>
      </c>
      <c r="E14">
        <f t="shared" si="6"/>
        <v>563</v>
      </c>
      <c r="F14">
        <f t="shared" si="6"/>
        <v>542</v>
      </c>
      <c r="G14">
        <f t="shared" si="6"/>
        <v>1048</v>
      </c>
      <c r="H14">
        <f t="shared" si="6"/>
        <v>480</v>
      </c>
      <c r="I14">
        <f t="shared" si="6"/>
        <v>704</v>
      </c>
      <c r="J14">
        <f t="shared" si="6"/>
        <v>849</v>
      </c>
      <c r="K14">
        <f t="shared" si="6"/>
        <v>756</v>
      </c>
      <c r="L14">
        <f t="shared" si="6"/>
        <v>727</v>
      </c>
      <c r="M14">
        <f t="shared" si="6"/>
        <v>1742</v>
      </c>
      <c r="N14">
        <f t="shared" si="6"/>
        <v>816</v>
      </c>
      <c r="O14">
        <f t="shared" si="6"/>
        <v>776</v>
      </c>
      <c r="S14">
        <f>SUM(S7:S13)</f>
        <v>711</v>
      </c>
      <c r="W14" s="312"/>
      <c r="X14" s="312"/>
    </row>
    <row r="16" spans="1:26" x14ac:dyDescent="0.25">
      <c r="O16" s="312"/>
    </row>
    <row r="17" spans="1:26" x14ac:dyDescent="0.25">
      <c r="U17" s="360" t="s">
        <v>256</v>
      </c>
      <c r="V17" s="360" t="s">
        <v>257</v>
      </c>
      <c r="W17" s="360" t="s">
        <v>258</v>
      </c>
      <c r="X17" s="360" t="s">
        <v>259</v>
      </c>
      <c r="Y17" s="360" t="s">
        <v>260</v>
      </c>
      <c r="Z17" s="360" t="s">
        <v>261</v>
      </c>
    </row>
    <row r="18" spans="1:26" x14ac:dyDescent="0.25">
      <c r="D18" s="348" t="s">
        <v>249</v>
      </c>
      <c r="E18" s="349"/>
      <c r="F18" s="349"/>
      <c r="G18" s="349"/>
      <c r="H18" s="349"/>
      <c r="I18" s="349"/>
      <c r="J18" s="349"/>
      <c r="K18" s="349"/>
      <c r="L18" s="349"/>
      <c r="M18" s="349"/>
      <c r="N18" s="349"/>
      <c r="O18" s="350"/>
      <c r="P18" s="348" t="s">
        <v>245</v>
      </c>
      <c r="Q18" s="349"/>
      <c r="R18" s="349"/>
      <c r="S18" s="350"/>
      <c r="U18" s="360"/>
      <c r="V18" s="360"/>
      <c r="W18" s="360"/>
      <c r="X18" s="360"/>
      <c r="Y18" s="360"/>
      <c r="Z18" s="360"/>
    </row>
    <row r="19" spans="1:26" s="194" customFormat="1" ht="15" customHeight="1" x14ac:dyDescent="0.25">
      <c r="A19" s="208" t="s">
        <v>255</v>
      </c>
      <c r="B19" s="272" t="s">
        <v>254</v>
      </c>
      <c r="C19" s="327" t="s">
        <v>8</v>
      </c>
      <c r="D19" s="208">
        <v>201612</v>
      </c>
      <c r="E19" s="272">
        <v>201701</v>
      </c>
      <c r="F19" s="272">
        <v>201702</v>
      </c>
      <c r="G19" s="272">
        <v>201703</v>
      </c>
      <c r="H19" s="272">
        <v>201704</v>
      </c>
      <c r="I19" s="272">
        <v>201705</v>
      </c>
      <c r="J19" s="272">
        <v>201706</v>
      </c>
      <c r="K19" s="272">
        <v>201707</v>
      </c>
      <c r="L19" s="272">
        <v>201708</v>
      </c>
      <c r="M19" s="272">
        <v>201709</v>
      </c>
      <c r="N19" s="272">
        <v>201710</v>
      </c>
      <c r="O19" s="327">
        <v>201711</v>
      </c>
      <c r="P19" s="329" t="s">
        <v>12</v>
      </c>
      <c r="Q19" s="330" t="s">
        <v>246</v>
      </c>
      <c r="R19" s="330" t="s">
        <v>247</v>
      </c>
      <c r="S19" s="331" t="s">
        <v>248</v>
      </c>
      <c r="U19" s="360"/>
      <c r="V19" s="360"/>
      <c r="W19" s="360"/>
      <c r="X19" s="360"/>
      <c r="Y19" s="360"/>
      <c r="Z19" s="360"/>
    </row>
    <row r="20" spans="1:26" x14ac:dyDescent="0.25">
      <c r="A20" s="336" t="s">
        <v>262</v>
      </c>
      <c r="B20" s="314">
        <v>1111111</v>
      </c>
      <c r="C20" s="321" t="s">
        <v>109</v>
      </c>
      <c r="D20" s="313">
        <v>5</v>
      </c>
      <c r="E20" s="314">
        <v>7</v>
      </c>
      <c r="F20" s="314">
        <v>1</v>
      </c>
      <c r="G20" s="314">
        <v>5</v>
      </c>
      <c r="H20" s="314">
        <v>3</v>
      </c>
      <c r="I20" s="314">
        <v>1</v>
      </c>
      <c r="J20" s="314">
        <v>6</v>
      </c>
      <c r="K20" s="314">
        <v>5</v>
      </c>
      <c r="L20" s="314">
        <v>7</v>
      </c>
      <c r="M20" s="314">
        <v>3</v>
      </c>
      <c r="N20" s="314">
        <v>5</v>
      </c>
      <c r="O20" s="315">
        <v>1</v>
      </c>
      <c r="P20" s="308">
        <v>1</v>
      </c>
      <c r="Q20" s="308">
        <v>6</v>
      </c>
      <c r="R20" s="308">
        <v>1</v>
      </c>
      <c r="S20" s="309">
        <v>2</v>
      </c>
      <c r="U20" s="332">
        <f>AVERAGE($D$20:$O$26)</f>
        <v>1282.7738095238096</v>
      </c>
      <c r="V20" s="334">
        <f>AVERAGE($D$27:$O$27)</f>
        <v>8979.4166666666661</v>
      </c>
      <c r="W20" s="332">
        <f>AVERAGE($S$20:$S$26)</f>
        <v>90.5</v>
      </c>
      <c r="X20" s="334">
        <f>SUM($S$20:$S$26)</f>
        <v>543</v>
      </c>
      <c r="Y20" s="333">
        <f>ABS((U20-W20)/W20)</f>
        <v>13.17429623783215</v>
      </c>
      <c r="Z20" s="335">
        <f>ABS((V20-X20)/X20)</f>
        <v>15.536678944137506</v>
      </c>
    </row>
    <row r="21" spans="1:26" x14ac:dyDescent="0.25">
      <c r="A21" s="322" t="s">
        <v>263</v>
      </c>
      <c r="B21" s="1">
        <v>1111111</v>
      </c>
      <c r="C21" s="323" t="s">
        <v>36</v>
      </c>
      <c r="D21" s="316">
        <v>15</v>
      </c>
      <c r="E21" s="1">
        <v>19</v>
      </c>
      <c r="F21" s="1">
        <v>73</v>
      </c>
      <c r="G21" s="1">
        <v>487</v>
      </c>
      <c r="H21" s="1">
        <v>93</v>
      </c>
      <c r="I21" s="1">
        <v>95</v>
      </c>
      <c r="J21" s="1">
        <v>103</v>
      </c>
      <c r="K21" s="1">
        <v>99</v>
      </c>
      <c r="L21" s="1">
        <v>52</v>
      </c>
      <c r="M21" s="1">
        <v>74</v>
      </c>
      <c r="N21" s="1">
        <v>26</v>
      </c>
      <c r="O21" s="317">
        <v>13</v>
      </c>
      <c r="P21" s="308">
        <v>13</v>
      </c>
      <c r="Q21" s="308">
        <v>9</v>
      </c>
      <c r="R21" s="308">
        <v>170</v>
      </c>
      <c r="S21" s="309">
        <v>96</v>
      </c>
      <c r="U21" s="332">
        <f t="shared" ref="U21:U26" si="7">AVERAGE($D$20:$O$26)</f>
        <v>1282.7738095238096</v>
      </c>
      <c r="V21" s="334">
        <f t="shared" ref="V21:V26" si="8">AVERAGE($D$27:$O$27)</f>
        <v>8979.4166666666661</v>
      </c>
      <c r="W21" s="332">
        <f t="shared" ref="W21:W26" si="9">AVERAGE($S$20:$S$26)</f>
        <v>90.5</v>
      </c>
      <c r="X21" s="334">
        <f t="shared" ref="X21:X26" si="10">SUM($S$20:$S$26)</f>
        <v>543</v>
      </c>
      <c r="Y21" s="333">
        <f t="shared" ref="Y21:Y26" si="11">ABS((U21-W21)/W21)</f>
        <v>13.17429623783215</v>
      </c>
      <c r="Z21" s="335">
        <f t="shared" ref="Z21:Z26" si="12">ABS((V21-X21)/X21)</f>
        <v>15.536678944137506</v>
      </c>
    </row>
    <row r="22" spans="1:26" x14ac:dyDescent="0.25">
      <c r="A22" s="322" t="s">
        <v>263</v>
      </c>
      <c r="B22" s="1">
        <v>1111111</v>
      </c>
      <c r="C22" s="323" t="s">
        <v>97</v>
      </c>
      <c r="D22" s="316">
        <v>73</v>
      </c>
      <c r="E22" s="1">
        <v>183</v>
      </c>
      <c r="F22" s="1">
        <v>141</v>
      </c>
      <c r="G22" s="1">
        <v>189</v>
      </c>
      <c r="H22" s="1">
        <v>59</v>
      </c>
      <c r="I22" s="1">
        <v>44</v>
      </c>
      <c r="J22" s="1">
        <v>21</v>
      </c>
      <c r="K22" s="1">
        <v>38</v>
      </c>
      <c r="L22" s="1">
        <v>39</v>
      </c>
      <c r="M22" s="1">
        <v>33</v>
      </c>
      <c r="N22" s="1">
        <v>110</v>
      </c>
      <c r="O22" s="317">
        <v>111</v>
      </c>
      <c r="P22" s="308">
        <v>111</v>
      </c>
      <c r="Q22" s="308">
        <v>112</v>
      </c>
      <c r="R22" s="308">
        <v>114</v>
      </c>
      <c r="S22" s="309">
        <v>72</v>
      </c>
      <c r="U22" s="332">
        <f t="shared" si="7"/>
        <v>1282.7738095238096</v>
      </c>
      <c r="V22" s="334">
        <f t="shared" si="8"/>
        <v>8979.4166666666661</v>
      </c>
      <c r="W22" s="332">
        <f t="shared" si="9"/>
        <v>90.5</v>
      </c>
      <c r="X22" s="334">
        <f t="shared" si="10"/>
        <v>543</v>
      </c>
      <c r="Y22" s="333">
        <f t="shared" si="11"/>
        <v>13.17429623783215</v>
      </c>
      <c r="Z22" s="335">
        <f t="shared" si="12"/>
        <v>15.536678944137506</v>
      </c>
    </row>
    <row r="23" spans="1:26" x14ac:dyDescent="0.25">
      <c r="A23" s="322" t="s">
        <v>263</v>
      </c>
      <c r="B23" s="1">
        <v>1111111</v>
      </c>
      <c r="C23" s="323" t="s">
        <v>46</v>
      </c>
      <c r="D23" s="316">
        <v>6000</v>
      </c>
      <c r="E23" s="1">
        <v>35523</v>
      </c>
      <c r="F23" s="1">
        <v>6000</v>
      </c>
      <c r="G23" s="1">
        <v>6000</v>
      </c>
      <c r="H23" s="1">
        <v>6000</v>
      </c>
      <c r="I23" s="1">
        <v>6000</v>
      </c>
      <c r="J23" s="1">
        <v>6000</v>
      </c>
      <c r="K23" s="1">
        <v>6000</v>
      </c>
      <c r="L23" s="1">
        <v>6000</v>
      </c>
      <c r="M23" s="1">
        <v>6000</v>
      </c>
      <c r="N23" s="1">
        <v>6000</v>
      </c>
      <c r="O23" s="1">
        <v>6000</v>
      </c>
      <c r="P23" s="316">
        <v>6000</v>
      </c>
      <c r="Q23" s="1">
        <v>6000</v>
      </c>
      <c r="R23" s="1">
        <v>6000</v>
      </c>
      <c r="S23" s="309"/>
      <c r="U23" s="332">
        <f t="shared" si="7"/>
        <v>1282.7738095238096</v>
      </c>
      <c r="V23" s="334">
        <f t="shared" si="8"/>
        <v>8979.4166666666661</v>
      </c>
      <c r="W23" s="332">
        <f t="shared" si="9"/>
        <v>90.5</v>
      </c>
      <c r="X23" s="334">
        <f t="shared" si="10"/>
        <v>543</v>
      </c>
      <c r="Y23" s="333">
        <f t="shared" si="11"/>
        <v>13.17429623783215</v>
      </c>
      <c r="Z23" s="335">
        <f t="shared" si="12"/>
        <v>15.536678944137506</v>
      </c>
    </row>
    <row r="24" spans="1:26" x14ac:dyDescent="0.25">
      <c r="A24" s="322" t="s">
        <v>263</v>
      </c>
      <c r="B24" s="1">
        <v>1111111</v>
      </c>
      <c r="C24" s="323" t="s">
        <v>41</v>
      </c>
      <c r="D24" s="316">
        <v>91</v>
      </c>
      <c r="E24" s="1">
        <v>93</v>
      </c>
      <c r="F24" s="1">
        <v>65</v>
      </c>
      <c r="G24" s="1">
        <v>45</v>
      </c>
      <c r="H24" s="1">
        <v>55</v>
      </c>
      <c r="I24" s="1">
        <v>46</v>
      </c>
      <c r="J24" s="1">
        <v>60</v>
      </c>
      <c r="K24" s="1">
        <v>75</v>
      </c>
      <c r="L24" s="1">
        <v>47</v>
      </c>
      <c r="M24" s="1">
        <v>44</v>
      </c>
      <c r="N24" s="1">
        <v>127</v>
      </c>
      <c r="O24" s="317">
        <v>80</v>
      </c>
      <c r="P24" s="308">
        <v>80</v>
      </c>
      <c r="Q24" s="308">
        <v>88</v>
      </c>
      <c r="R24" s="308">
        <v>80</v>
      </c>
      <c r="S24" s="309">
        <v>67</v>
      </c>
      <c r="U24" s="332">
        <f t="shared" si="7"/>
        <v>1282.7738095238096</v>
      </c>
      <c r="V24" s="334">
        <f t="shared" si="8"/>
        <v>8979.4166666666661</v>
      </c>
      <c r="W24" s="332">
        <f t="shared" si="9"/>
        <v>90.5</v>
      </c>
      <c r="X24" s="334">
        <f t="shared" si="10"/>
        <v>543</v>
      </c>
      <c r="Y24" s="333">
        <f t="shared" si="11"/>
        <v>13.17429623783215</v>
      </c>
      <c r="Z24" s="335">
        <f t="shared" si="12"/>
        <v>15.536678944137506</v>
      </c>
    </row>
    <row r="25" spans="1:26" x14ac:dyDescent="0.25">
      <c r="A25" s="322" t="s">
        <v>263</v>
      </c>
      <c r="B25" s="1">
        <v>1111111</v>
      </c>
      <c r="C25" s="323" t="s">
        <v>227</v>
      </c>
      <c r="D25" s="316">
        <v>38</v>
      </c>
      <c r="E25" s="1">
        <v>45</v>
      </c>
      <c r="F25" s="1">
        <v>63</v>
      </c>
      <c r="G25" s="1">
        <v>87</v>
      </c>
      <c r="H25" s="1">
        <v>47</v>
      </c>
      <c r="I25" s="1">
        <v>40</v>
      </c>
      <c r="J25" s="1">
        <v>32</v>
      </c>
      <c r="K25" s="1">
        <v>33</v>
      </c>
      <c r="L25" s="1">
        <v>65</v>
      </c>
      <c r="M25" s="1">
        <v>119</v>
      </c>
      <c r="N25" s="1">
        <v>157</v>
      </c>
      <c r="O25" s="317">
        <v>211</v>
      </c>
      <c r="P25" s="308">
        <v>211</v>
      </c>
      <c r="Q25" s="308">
        <v>143</v>
      </c>
      <c r="R25" s="308">
        <v>246</v>
      </c>
      <c r="S25" s="309">
        <v>194</v>
      </c>
      <c r="U25" s="332">
        <f t="shared" si="7"/>
        <v>1282.7738095238096</v>
      </c>
      <c r="V25" s="334">
        <f t="shared" si="8"/>
        <v>8979.4166666666661</v>
      </c>
      <c r="W25" s="332">
        <f t="shared" si="9"/>
        <v>90.5</v>
      </c>
      <c r="X25" s="334">
        <f t="shared" si="10"/>
        <v>543</v>
      </c>
      <c r="Y25" s="333">
        <f t="shared" si="11"/>
        <v>13.17429623783215</v>
      </c>
      <c r="Z25" s="335">
        <f t="shared" si="12"/>
        <v>15.536678944137506</v>
      </c>
    </row>
    <row r="26" spans="1:26" x14ac:dyDescent="0.25">
      <c r="A26" s="324" t="s">
        <v>263</v>
      </c>
      <c r="B26" s="325">
        <v>1111111</v>
      </c>
      <c r="C26" s="326" t="s">
        <v>108</v>
      </c>
      <c r="D26" s="192">
        <v>27</v>
      </c>
      <c r="E26" s="318">
        <v>78</v>
      </c>
      <c r="F26" s="318">
        <v>54</v>
      </c>
      <c r="G26" s="318">
        <v>51</v>
      </c>
      <c r="H26" s="318">
        <v>43</v>
      </c>
      <c r="I26" s="318">
        <v>264</v>
      </c>
      <c r="J26" s="318">
        <v>445</v>
      </c>
      <c r="K26" s="318">
        <v>288</v>
      </c>
      <c r="L26" s="318">
        <v>290</v>
      </c>
      <c r="M26" s="318">
        <v>363</v>
      </c>
      <c r="N26" s="318">
        <v>166</v>
      </c>
      <c r="O26" s="319">
        <v>157</v>
      </c>
      <c r="P26" s="310">
        <v>157</v>
      </c>
      <c r="Q26" s="310">
        <v>89</v>
      </c>
      <c r="R26" s="310">
        <v>134</v>
      </c>
      <c r="S26" s="311">
        <v>112</v>
      </c>
      <c r="U26" s="332">
        <f t="shared" si="7"/>
        <v>1282.7738095238096</v>
      </c>
      <c r="V26" s="334">
        <f t="shared" si="8"/>
        <v>8979.4166666666661</v>
      </c>
      <c r="W26" s="332">
        <f t="shared" si="9"/>
        <v>90.5</v>
      </c>
      <c r="X26" s="334">
        <f t="shared" si="10"/>
        <v>543</v>
      </c>
      <c r="Y26" s="333">
        <f t="shared" si="11"/>
        <v>13.17429623783215</v>
      </c>
      <c r="Z26" s="335">
        <f t="shared" si="12"/>
        <v>15.536678944137506</v>
      </c>
    </row>
    <row r="27" spans="1:26" x14ac:dyDescent="0.25">
      <c r="C27" t="s">
        <v>250</v>
      </c>
      <c r="D27">
        <f t="shared" ref="D27:O27" si="13">SUM(D20:D26)</f>
        <v>6249</v>
      </c>
      <c r="E27">
        <f t="shared" si="13"/>
        <v>35948</v>
      </c>
      <c r="F27">
        <f t="shared" si="13"/>
        <v>6397</v>
      </c>
      <c r="G27">
        <f t="shared" si="13"/>
        <v>6864</v>
      </c>
      <c r="H27">
        <f t="shared" si="13"/>
        <v>6300</v>
      </c>
      <c r="I27">
        <f t="shared" si="13"/>
        <v>6490</v>
      </c>
      <c r="J27">
        <f t="shared" si="13"/>
        <v>6667</v>
      </c>
      <c r="K27">
        <f t="shared" si="13"/>
        <v>6538</v>
      </c>
      <c r="L27">
        <f t="shared" si="13"/>
        <v>6500</v>
      </c>
      <c r="M27">
        <f t="shared" si="13"/>
        <v>6636</v>
      </c>
      <c r="N27">
        <f t="shared" si="13"/>
        <v>6591</v>
      </c>
      <c r="O27">
        <f t="shared" si="13"/>
        <v>6573</v>
      </c>
      <c r="S27">
        <f>SUM(S20:S26)</f>
        <v>543</v>
      </c>
      <c r="W27" s="312"/>
      <c r="X27" s="312"/>
    </row>
    <row r="30" spans="1:26" x14ac:dyDescent="0.25">
      <c r="U30" s="360" t="s">
        <v>256</v>
      </c>
      <c r="V30" s="360" t="s">
        <v>257</v>
      </c>
      <c r="W30" s="360" t="s">
        <v>258</v>
      </c>
      <c r="X30" s="360" t="s">
        <v>259</v>
      </c>
      <c r="Y30" s="360" t="s">
        <v>260</v>
      </c>
      <c r="Z30" s="360" t="s">
        <v>261</v>
      </c>
    </row>
    <row r="31" spans="1:26" x14ac:dyDescent="0.25">
      <c r="D31" s="348" t="s">
        <v>249</v>
      </c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50"/>
      <c r="P31" s="348" t="s">
        <v>245</v>
      </c>
      <c r="Q31" s="349"/>
      <c r="R31" s="349"/>
      <c r="S31" s="350"/>
      <c r="U31" s="360"/>
      <c r="V31" s="360"/>
      <c r="W31" s="360"/>
      <c r="X31" s="360"/>
      <c r="Y31" s="360"/>
      <c r="Z31" s="360"/>
    </row>
    <row r="32" spans="1:26" s="194" customFormat="1" ht="15" customHeight="1" x14ac:dyDescent="0.25">
      <c r="A32" s="208" t="s">
        <v>255</v>
      </c>
      <c r="B32" s="272" t="s">
        <v>254</v>
      </c>
      <c r="C32" s="327" t="s">
        <v>8</v>
      </c>
      <c r="D32" s="208">
        <v>201612</v>
      </c>
      <c r="E32" s="272">
        <v>201701</v>
      </c>
      <c r="F32" s="272">
        <v>201702</v>
      </c>
      <c r="G32" s="272">
        <v>201703</v>
      </c>
      <c r="H32" s="272">
        <v>201704</v>
      </c>
      <c r="I32" s="272">
        <v>201705</v>
      </c>
      <c r="J32" s="272">
        <v>201706</v>
      </c>
      <c r="K32" s="272">
        <v>201707</v>
      </c>
      <c r="L32" s="272">
        <v>201708</v>
      </c>
      <c r="M32" s="272">
        <v>201709</v>
      </c>
      <c r="N32" s="272">
        <v>201710</v>
      </c>
      <c r="O32" s="327">
        <v>201711</v>
      </c>
      <c r="P32" s="329" t="s">
        <v>12</v>
      </c>
      <c r="Q32" s="330" t="s">
        <v>246</v>
      </c>
      <c r="R32" s="330" t="s">
        <v>247</v>
      </c>
      <c r="S32" s="331" t="s">
        <v>248</v>
      </c>
      <c r="U32" s="360"/>
      <c r="V32" s="360"/>
      <c r="W32" s="360"/>
      <c r="X32" s="360"/>
      <c r="Y32" s="360"/>
      <c r="Z32" s="360"/>
    </row>
    <row r="33" spans="1:26" x14ac:dyDescent="0.25">
      <c r="A33" s="320" t="s">
        <v>264</v>
      </c>
      <c r="B33" s="314">
        <v>2222222</v>
      </c>
      <c r="C33" s="321" t="s">
        <v>109</v>
      </c>
      <c r="D33" s="313">
        <v>5</v>
      </c>
      <c r="E33" s="314">
        <v>7</v>
      </c>
      <c r="F33" s="314">
        <v>1</v>
      </c>
      <c r="G33" s="314">
        <v>5</v>
      </c>
      <c r="H33" s="314">
        <v>3</v>
      </c>
      <c r="I33" s="314">
        <v>1</v>
      </c>
      <c r="J33" s="314">
        <v>6</v>
      </c>
      <c r="K33" s="314">
        <v>5</v>
      </c>
      <c r="L33" s="314">
        <v>7</v>
      </c>
      <c r="M33" s="314">
        <v>3</v>
      </c>
      <c r="N33" s="314">
        <v>5</v>
      </c>
      <c r="O33" s="315">
        <v>1</v>
      </c>
      <c r="P33" s="308">
        <v>1</v>
      </c>
      <c r="Q33" s="308">
        <v>6</v>
      </c>
      <c r="R33" s="308">
        <v>1</v>
      </c>
      <c r="S33" s="309">
        <v>2</v>
      </c>
      <c r="U33" s="339">
        <f>AVERAGE($D$33:$O$39)</f>
        <v>909.20253164556959</v>
      </c>
      <c r="V33" s="340">
        <f>AVERAGE($D$40:$O$40)</f>
        <v>5985.583333333333</v>
      </c>
      <c r="W33" s="339">
        <f>AVERAGE($S$33:$S$39)</f>
        <v>1074.5</v>
      </c>
      <c r="X33" s="340">
        <f>SUM($S$33:$S$39)</f>
        <v>6447</v>
      </c>
      <c r="Y33" s="337">
        <f>ABS((U33-W33)/W33)</f>
        <v>0.15383663876633821</v>
      </c>
      <c r="Z33" s="338">
        <f>ABS((V33-X33)/X33)</f>
        <v>7.1570756424176665E-2</v>
      </c>
    </row>
    <row r="34" spans="1:26" x14ac:dyDescent="0.25">
      <c r="A34" s="322" t="s">
        <v>264</v>
      </c>
      <c r="B34" s="1">
        <v>2222222</v>
      </c>
      <c r="C34" s="323" t="s">
        <v>36</v>
      </c>
      <c r="D34" s="316">
        <v>15</v>
      </c>
      <c r="E34" s="1">
        <v>19</v>
      </c>
      <c r="F34" s="1">
        <v>73</v>
      </c>
      <c r="G34" s="1">
        <v>487</v>
      </c>
      <c r="H34" s="1"/>
      <c r="I34" s="1">
        <v>95</v>
      </c>
      <c r="J34" s="1">
        <v>103</v>
      </c>
      <c r="K34" s="1">
        <v>99</v>
      </c>
      <c r="L34" s="1">
        <v>52</v>
      </c>
      <c r="M34" s="1">
        <v>74</v>
      </c>
      <c r="N34" s="1">
        <v>26</v>
      </c>
      <c r="O34" s="317">
        <v>13</v>
      </c>
      <c r="P34" s="308">
        <v>13</v>
      </c>
      <c r="Q34" s="308">
        <v>9</v>
      </c>
      <c r="R34" s="308">
        <v>170</v>
      </c>
      <c r="S34" s="309"/>
      <c r="U34" s="339">
        <f t="shared" ref="U34:U39" si="14">AVERAGE($D$33:$O$39)</f>
        <v>909.20253164556959</v>
      </c>
      <c r="V34" s="340">
        <f t="shared" ref="V34:V39" si="15">AVERAGE($D$40:$O$40)</f>
        <v>5985.583333333333</v>
      </c>
      <c r="W34" s="339">
        <f t="shared" ref="W34:W39" si="16">AVERAGE($S$33:$S$39)</f>
        <v>1074.5</v>
      </c>
      <c r="X34" s="340">
        <f t="shared" ref="X34:X39" si="17">SUM($S$33:$S$39)</f>
        <v>6447</v>
      </c>
      <c r="Y34" s="337">
        <f t="shared" ref="Y34:Y39" si="18">ABS((U34-W34)/W34)</f>
        <v>0.15383663876633821</v>
      </c>
      <c r="Z34" s="338">
        <f t="shared" ref="Z34:Z39" si="19">ABS((V34-X34)/X34)</f>
        <v>7.1570756424176665E-2</v>
      </c>
    </row>
    <row r="35" spans="1:26" x14ac:dyDescent="0.25">
      <c r="A35" s="322" t="s">
        <v>264</v>
      </c>
      <c r="B35" s="1">
        <v>2222222</v>
      </c>
      <c r="C35" s="323" t="s">
        <v>97</v>
      </c>
      <c r="D35" s="316">
        <v>73</v>
      </c>
      <c r="E35" s="1">
        <v>183</v>
      </c>
      <c r="F35" s="1">
        <v>141</v>
      </c>
      <c r="G35" s="1">
        <v>189</v>
      </c>
      <c r="H35" s="1">
        <v>59</v>
      </c>
      <c r="I35" s="1">
        <v>44</v>
      </c>
      <c r="J35" s="1">
        <v>21</v>
      </c>
      <c r="K35" s="1">
        <v>38</v>
      </c>
      <c r="L35" s="1"/>
      <c r="M35" s="1">
        <v>33</v>
      </c>
      <c r="N35" s="1">
        <v>110</v>
      </c>
      <c r="O35" s="317">
        <v>111</v>
      </c>
      <c r="P35" s="308">
        <v>111</v>
      </c>
      <c r="Q35" s="308">
        <v>112</v>
      </c>
      <c r="R35" s="308">
        <v>114</v>
      </c>
      <c r="S35" s="309">
        <v>72</v>
      </c>
      <c r="U35" s="339">
        <f t="shared" si="14"/>
        <v>909.20253164556959</v>
      </c>
      <c r="V35" s="340">
        <f t="shared" si="15"/>
        <v>5985.583333333333</v>
      </c>
      <c r="W35" s="339">
        <f t="shared" si="16"/>
        <v>1074.5</v>
      </c>
      <c r="X35" s="340">
        <f t="shared" si="17"/>
        <v>6447</v>
      </c>
      <c r="Y35" s="337">
        <f t="shared" si="18"/>
        <v>0.15383663876633821</v>
      </c>
      <c r="Z35" s="338">
        <f t="shared" si="19"/>
        <v>7.1570756424176665E-2</v>
      </c>
    </row>
    <row r="36" spans="1:26" x14ac:dyDescent="0.25">
      <c r="A36" s="322" t="s">
        <v>264</v>
      </c>
      <c r="B36" s="1">
        <v>2222222</v>
      </c>
      <c r="C36" s="323" t="s">
        <v>46</v>
      </c>
      <c r="D36" s="316">
        <v>6000</v>
      </c>
      <c r="E36" s="273"/>
      <c r="F36" s="1">
        <v>6000</v>
      </c>
      <c r="G36" s="1">
        <v>6000</v>
      </c>
      <c r="H36" s="1">
        <v>6000</v>
      </c>
      <c r="I36" s="1">
        <v>6000</v>
      </c>
      <c r="J36" s="1">
        <v>6000</v>
      </c>
      <c r="K36" s="1">
        <v>6000</v>
      </c>
      <c r="L36" s="1">
        <v>6000</v>
      </c>
      <c r="M36" s="1">
        <v>6000</v>
      </c>
      <c r="N36" s="1">
        <v>6000</v>
      </c>
      <c r="O36" s="1">
        <v>6000</v>
      </c>
      <c r="P36" s="316">
        <v>6000</v>
      </c>
      <c r="Q36" s="1">
        <v>6000</v>
      </c>
      <c r="R36" s="1">
        <v>6000</v>
      </c>
      <c r="S36" s="309">
        <v>6000</v>
      </c>
      <c r="U36" s="339">
        <f t="shared" si="14"/>
        <v>909.20253164556959</v>
      </c>
      <c r="V36" s="340">
        <f t="shared" si="15"/>
        <v>5985.583333333333</v>
      </c>
      <c r="W36" s="339">
        <f t="shared" si="16"/>
        <v>1074.5</v>
      </c>
      <c r="X36" s="340">
        <f t="shared" si="17"/>
        <v>6447</v>
      </c>
      <c r="Y36" s="337">
        <f t="shared" si="18"/>
        <v>0.15383663876633821</v>
      </c>
      <c r="Z36" s="338">
        <f t="shared" si="19"/>
        <v>7.1570756424176665E-2</v>
      </c>
    </row>
    <row r="37" spans="1:26" x14ac:dyDescent="0.25">
      <c r="A37" s="322" t="s">
        <v>264</v>
      </c>
      <c r="B37" s="1">
        <v>2222222</v>
      </c>
      <c r="C37" s="323" t="s">
        <v>41</v>
      </c>
      <c r="D37" s="316">
        <v>91</v>
      </c>
      <c r="E37" s="1">
        <v>93</v>
      </c>
      <c r="F37" s="1">
        <v>65</v>
      </c>
      <c r="G37" s="1">
        <v>45</v>
      </c>
      <c r="H37" s="1">
        <v>55</v>
      </c>
      <c r="I37" s="1">
        <v>46</v>
      </c>
      <c r="J37" s="1"/>
      <c r="K37" s="1">
        <v>75</v>
      </c>
      <c r="L37" s="1">
        <v>47</v>
      </c>
      <c r="M37" s="1">
        <v>44</v>
      </c>
      <c r="N37" s="1">
        <v>127</v>
      </c>
      <c r="O37" s="317">
        <v>80</v>
      </c>
      <c r="P37" s="308">
        <v>80</v>
      </c>
      <c r="Q37" s="308">
        <v>88</v>
      </c>
      <c r="R37" s="308">
        <v>80</v>
      </c>
      <c r="S37" s="309">
        <v>67</v>
      </c>
      <c r="U37" s="339">
        <f t="shared" si="14"/>
        <v>909.20253164556959</v>
      </c>
      <c r="V37" s="340">
        <f t="shared" si="15"/>
        <v>5985.583333333333</v>
      </c>
      <c r="W37" s="339">
        <f t="shared" si="16"/>
        <v>1074.5</v>
      </c>
      <c r="X37" s="340">
        <f t="shared" si="17"/>
        <v>6447</v>
      </c>
      <c r="Y37" s="337">
        <f t="shared" si="18"/>
        <v>0.15383663876633821</v>
      </c>
      <c r="Z37" s="338">
        <f t="shared" si="19"/>
        <v>7.1570756424176665E-2</v>
      </c>
    </row>
    <row r="38" spans="1:26" x14ac:dyDescent="0.25">
      <c r="A38" s="322" t="s">
        <v>264</v>
      </c>
      <c r="B38" s="1">
        <v>2222222</v>
      </c>
      <c r="C38" s="323" t="s">
        <v>227</v>
      </c>
      <c r="D38" s="316">
        <v>38</v>
      </c>
      <c r="E38" s="1">
        <v>45</v>
      </c>
      <c r="F38" s="1">
        <v>63</v>
      </c>
      <c r="G38" s="1">
        <v>87</v>
      </c>
      <c r="H38" s="1">
        <v>47</v>
      </c>
      <c r="I38" s="1">
        <v>40</v>
      </c>
      <c r="J38" s="1">
        <v>32</v>
      </c>
      <c r="K38" s="1">
        <v>33</v>
      </c>
      <c r="L38" s="1">
        <v>65</v>
      </c>
      <c r="M38" s="1">
        <v>119</v>
      </c>
      <c r="N38" s="1">
        <v>157</v>
      </c>
      <c r="O38" s="317"/>
      <c r="P38" s="308">
        <v>211</v>
      </c>
      <c r="Q38" s="308">
        <v>143</v>
      </c>
      <c r="R38" s="308">
        <v>246</v>
      </c>
      <c r="S38" s="309">
        <v>194</v>
      </c>
      <c r="U38" s="339">
        <f t="shared" si="14"/>
        <v>909.20253164556959</v>
      </c>
      <c r="V38" s="340">
        <f t="shared" si="15"/>
        <v>5985.583333333333</v>
      </c>
      <c r="W38" s="339">
        <f t="shared" si="16"/>
        <v>1074.5</v>
      </c>
      <c r="X38" s="340">
        <f t="shared" si="17"/>
        <v>6447</v>
      </c>
      <c r="Y38" s="337">
        <f t="shared" si="18"/>
        <v>0.15383663876633821</v>
      </c>
      <c r="Z38" s="338">
        <f t="shared" si="19"/>
        <v>7.1570756424176665E-2</v>
      </c>
    </row>
    <row r="39" spans="1:26" x14ac:dyDescent="0.25">
      <c r="A39" s="324" t="s">
        <v>264</v>
      </c>
      <c r="B39" s="325">
        <v>2222222</v>
      </c>
      <c r="C39" s="326" t="s">
        <v>108</v>
      </c>
      <c r="D39" s="192">
        <v>27</v>
      </c>
      <c r="E39" s="318">
        <v>78</v>
      </c>
      <c r="F39" s="318">
        <v>54</v>
      </c>
      <c r="G39" s="318">
        <v>51</v>
      </c>
      <c r="H39" s="318">
        <v>43</v>
      </c>
      <c r="I39" s="318">
        <v>264</v>
      </c>
      <c r="J39" s="318">
        <v>445</v>
      </c>
      <c r="K39" s="318">
        <v>288</v>
      </c>
      <c r="L39" s="318">
        <v>290</v>
      </c>
      <c r="M39" s="318">
        <v>363</v>
      </c>
      <c r="N39" s="318">
        <v>166</v>
      </c>
      <c r="O39" s="319">
        <v>157</v>
      </c>
      <c r="P39" s="310">
        <v>157</v>
      </c>
      <c r="Q39" s="310">
        <v>89</v>
      </c>
      <c r="R39" s="310">
        <v>134</v>
      </c>
      <c r="S39" s="311">
        <v>112</v>
      </c>
      <c r="U39" s="339">
        <f t="shared" si="14"/>
        <v>909.20253164556959</v>
      </c>
      <c r="V39" s="340">
        <f t="shared" si="15"/>
        <v>5985.583333333333</v>
      </c>
      <c r="W39" s="339">
        <f t="shared" si="16"/>
        <v>1074.5</v>
      </c>
      <c r="X39" s="340">
        <f t="shared" si="17"/>
        <v>6447</v>
      </c>
      <c r="Y39" s="337">
        <f t="shared" si="18"/>
        <v>0.15383663876633821</v>
      </c>
      <c r="Z39" s="338">
        <f t="shared" si="19"/>
        <v>7.1570756424176665E-2</v>
      </c>
    </row>
    <row r="40" spans="1:26" x14ac:dyDescent="0.25">
      <c r="C40" t="s">
        <v>250</v>
      </c>
      <c r="D40">
        <f t="shared" ref="D40:O40" si="20">SUM(D33:D39)</f>
        <v>6249</v>
      </c>
      <c r="E40">
        <f t="shared" si="20"/>
        <v>425</v>
      </c>
      <c r="F40">
        <f t="shared" si="20"/>
        <v>6397</v>
      </c>
      <c r="G40">
        <f t="shared" si="20"/>
        <v>6864</v>
      </c>
      <c r="H40">
        <f t="shared" si="20"/>
        <v>6207</v>
      </c>
      <c r="I40">
        <f t="shared" si="20"/>
        <v>6490</v>
      </c>
      <c r="J40">
        <f t="shared" si="20"/>
        <v>6607</v>
      </c>
      <c r="K40">
        <f t="shared" si="20"/>
        <v>6538</v>
      </c>
      <c r="L40">
        <f t="shared" si="20"/>
        <v>6461</v>
      </c>
      <c r="M40">
        <f t="shared" si="20"/>
        <v>6636</v>
      </c>
      <c r="N40">
        <f t="shared" si="20"/>
        <v>6591</v>
      </c>
      <c r="O40">
        <f t="shared" si="20"/>
        <v>6362</v>
      </c>
      <c r="S40">
        <f>SUM(S33:S39)</f>
        <v>6447</v>
      </c>
      <c r="W40" s="312"/>
      <c r="X40" s="312"/>
    </row>
  </sheetData>
  <mergeCells count="24">
    <mergeCell ref="P5:S5"/>
    <mergeCell ref="D5:O5"/>
    <mergeCell ref="U4:U6"/>
    <mergeCell ref="V4:V6"/>
    <mergeCell ref="W4:W6"/>
    <mergeCell ref="X4:X6"/>
    <mergeCell ref="Y4:Y6"/>
    <mergeCell ref="Z4:Z6"/>
    <mergeCell ref="U17:U19"/>
    <mergeCell ref="V17:V19"/>
    <mergeCell ref="W17:W19"/>
    <mergeCell ref="X17:X19"/>
    <mergeCell ref="Y17:Y19"/>
    <mergeCell ref="Z17:Z19"/>
    <mergeCell ref="Y30:Y32"/>
    <mergeCell ref="Z30:Z32"/>
    <mergeCell ref="D31:O31"/>
    <mergeCell ref="P31:S31"/>
    <mergeCell ref="D18:O18"/>
    <mergeCell ref="P18:S18"/>
    <mergeCell ref="U30:U32"/>
    <mergeCell ref="V30:V32"/>
    <mergeCell ref="W30:W32"/>
    <mergeCell ref="X30:X3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O37"/>
  <sheetViews>
    <sheetView tabSelected="1" workbookViewId="0">
      <selection activeCell="Q11" sqref="Q11"/>
    </sheetView>
  </sheetViews>
  <sheetFormatPr defaultRowHeight="15" x14ac:dyDescent="0.25"/>
  <cols>
    <col min="3" max="3" width="21.85546875" bestFit="1" customWidth="1"/>
    <col min="4" max="4" width="9.7109375" bestFit="1" customWidth="1"/>
    <col min="5" max="5" width="9.28515625" bestFit="1" customWidth="1"/>
    <col min="6" max="12" width="9.28515625" customWidth="1"/>
    <col min="13" max="15" width="12.85546875" customWidth="1"/>
  </cols>
  <sheetData>
    <row r="3" spans="3:15" x14ac:dyDescent="0.25">
      <c r="C3" s="64"/>
      <c r="D3" s="64"/>
      <c r="E3" s="64"/>
      <c r="F3" s="348" t="s">
        <v>67</v>
      </c>
      <c r="G3" s="349"/>
      <c r="H3" s="350"/>
      <c r="I3" s="348" t="s">
        <v>68</v>
      </c>
      <c r="J3" s="349"/>
      <c r="K3" s="349"/>
      <c r="L3" s="350"/>
      <c r="M3" s="348" t="s">
        <v>13</v>
      </c>
      <c r="N3" s="349"/>
      <c r="O3" s="350"/>
    </row>
    <row r="4" spans="3:15" x14ac:dyDescent="0.25">
      <c r="C4" s="54" t="s">
        <v>7</v>
      </c>
      <c r="D4" s="55" t="s">
        <v>16</v>
      </c>
      <c r="E4" s="55" t="s">
        <v>8</v>
      </c>
      <c r="F4" s="124" t="s">
        <v>9</v>
      </c>
      <c r="G4" s="125" t="s">
        <v>10</v>
      </c>
      <c r="H4" s="126" t="s">
        <v>11</v>
      </c>
      <c r="I4" s="54" t="s">
        <v>9</v>
      </c>
      <c r="J4" s="127" t="s">
        <v>10</v>
      </c>
      <c r="K4" s="127" t="s">
        <v>11</v>
      </c>
      <c r="L4" s="139" t="s">
        <v>12</v>
      </c>
      <c r="M4" s="56" t="s">
        <v>7</v>
      </c>
      <c r="N4" s="57" t="s">
        <v>63</v>
      </c>
      <c r="O4" s="58" t="s">
        <v>242</v>
      </c>
    </row>
    <row r="5" spans="3:15" x14ac:dyDescent="0.25">
      <c r="C5" s="59" t="s">
        <v>237</v>
      </c>
      <c r="D5" s="112">
        <v>2345678</v>
      </c>
      <c r="E5" s="60" t="s">
        <v>3</v>
      </c>
      <c r="F5" s="116"/>
      <c r="G5" s="117"/>
      <c r="H5" s="183"/>
      <c r="I5" s="59"/>
      <c r="J5" s="34"/>
      <c r="K5" s="34"/>
      <c r="L5" s="150"/>
      <c r="M5" s="61"/>
      <c r="N5" s="62" t="s">
        <v>230</v>
      </c>
      <c r="O5" s="305">
        <v>500</v>
      </c>
    </row>
    <row r="6" spans="3:15" x14ac:dyDescent="0.25">
      <c r="C6" s="63" t="s">
        <v>237</v>
      </c>
      <c r="D6" s="113">
        <v>2345678</v>
      </c>
      <c r="E6" s="64" t="s">
        <v>1</v>
      </c>
      <c r="F6" s="118"/>
      <c r="G6" s="119"/>
      <c r="H6" s="184"/>
      <c r="I6" s="63"/>
      <c r="J6" s="120"/>
      <c r="K6" s="120"/>
      <c r="L6" s="138"/>
      <c r="M6" s="65"/>
      <c r="N6" s="66" t="s">
        <v>230</v>
      </c>
      <c r="O6" s="306">
        <v>500</v>
      </c>
    </row>
    <row r="7" spans="3:15" x14ac:dyDescent="0.25">
      <c r="C7" s="63" t="s">
        <v>237</v>
      </c>
      <c r="D7" s="113">
        <v>2345678</v>
      </c>
      <c r="E7" s="64" t="s">
        <v>236</v>
      </c>
      <c r="F7" s="118"/>
      <c r="G7" s="119"/>
      <c r="H7" s="184"/>
      <c r="I7" s="63"/>
      <c r="J7" s="120"/>
      <c r="K7" s="120"/>
      <c r="L7" s="138"/>
      <c r="M7" s="65"/>
      <c r="N7" s="66" t="s">
        <v>230</v>
      </c>
      <c r="O7" s="306">
        <v>500</v>
      </c>
    </row>
    <row r="8" spans="3:15" x14ac:dyDescent="0.25">
      <c r="C8" s="277" t="s">
        <v>237</v>
      </c>
      <c r="D8" s="278">
        <v>2345678</v>
      </c>
      <c r="E8" s="279" t="s">
        <v>235</v>
      </c>
      <c r="F8" s="280">
        <v>500</v>
      </c>
      <c r="G8" s="281">
        <v>500</v>
      </c>
      <c r="H8" s="282">
        <v>500</v>
      </c>
      <c r="I8" s="283">
        <v>500</v>
      </c>
      <c r="J8" s="281">
        <v>500</v>
      </c>
      <c r="K8" s="281">
        <v>500</v>
      </c>
      <c r="L8" s="287">
        <v>1100</v>
      </c>
      <c r="M8" s="284"/>
      <c r="N8" s="285"/>
      <c r="O8" s="286"/>
    </row>
    <row r="9" spans="3:15" x14ac:dyDescent="0.25">
      <c r="C9" s="59" t="s">
        <v>238</v>
      </c>
      <c r="D9" s="112">
        <v>3456789</v>
      </c>
      <c r="E9" s="60" t="s">
        <v>3</v>
      </c>
      <c r="F9" s="116"/>
      <c r="G9" s="117"/>
      <c r="H9" s="183"/>
      <c r="I9" s="59"/>
      <c r="J9" s="34"/>
      <c r="K9" s="34"/>
      <c r="L9" s="150"/>
      <c r="M9" s="61"/>
      <c r="N9" s="62" t="s">
        <v>230</v>
      </c>
      <c r="O9" s="303">
        <v>2000</v>
      </c>
    </row>
    <row r="10" spans="3:15" x14ac:dyDescent="0.25">
      <c r="C10" s="63" t="s">
        <v>238</v>
      </c>
      <c r="D10" s="113">
        <v>3456789</v>
      </c>
      <c r="E10" s="64" t="s">
        <v>2</v>
      </c>
      <c r="F10" s="118"/>
      <c r="G10" s="119"/>
      <c r="H10" s="184"/>
      <c r="I10" s="63"/>
      <c r="J10" s="120"/>
      <c r="K10" s="120"/>
      <c r="L10" s="138"/>
      <c r="M10" s="65"/>
      <c r="N10" s="66" t="s">
        <v>230</v>
      </c>
      <c r="O10" s="304">
        <v>2000</v>
      </c>
    </row>
    <row r="11" spans="3:15" x14ac:dyDescent="0.25">
      <c r="C11" s="63" t="s">
        <v>238</v>
      </c>
      <c r="D11" s="113">
        <v>3456789</v>
      </c>
      <c r="E11" s="64" t="s">
        <v>236</v>
      </c>
      <c r="F11" s="118"/>
      <c r="G11" s="119"/>
      <c r="H11" s="184"/>
      <c r="I11" s="63"/>
      <c r="J11" s="120"/>
      <c r="K11" s="120"/>
      <c r="L11" s="138"/>
      <c r="M11" s="65"/>
      <c r="N11" s="66" t="s">
        <v>230</v>
      </c>
      <c r="O11" s="304">
        <v>2000</v>
      </c>
    </row>
    <row r="12" spans="3:15" x14ac:dyDescent="0.25">
      <c r="C12" s="277" t="s">
        <v>238</v>
      </c>
      <c r="D12" s="278">
        <v>3456789</v>
      </c>
      <c r="E12" s="279" t="s">
        <v>235</v>
      </c>
      <c r="F12" s="280">
        <v>2000</v>
      </c>
      <c r="G12" s="281">
        <v>2000</v>
      </c>
      <c r="H12" s="282">
        <v>2000</v>
      </c>
      <c r="I12" s="283">
        <v>1500</v>
      </c>
      <c r="J12" s="281">
        <v>1500</v>
      </c>
      <c r="K12" s="281">
        <v>1500</v>
      </c>
      <c r="L12" s="287">
        <v>900</v>
      </c>
      <c r="M12" s="284"/>
      <c r="N12" s="285"/>
      <c r="O12" s="286"/>
    </row>
    <row r="13" spans="3:15" x14ac:dyDescent="0.25">
      <c r="C13" s="59" t="s">
        <v>82</v>
      </c>
      <c r="D13" s="112">
        <v>1234567</v>
      </c>
      <c r="E13" s="60" t="s">
        <v>3</v>
      </c>
      <c r="F13" s="116"/>
      <c r="G13" s="117"/>
      <c r="H13" s="183"/>
      <c r="I13" s="59"/>
      <c r="J13" s="34"/>
      <c r="K13" s="34"/>
      <c r="L13" s="150"/>
      <c r="M13" s="61"/>
      <c r="N13" s="62" t="s">
        <v>230</v>
      </c>
      <c r="O13" s="303">
        <v>11000</v>
      </c>
    </row>
    <row r="14" spans="3:15" x14ac:dyDescent="0.25">
      <c r="C14" s="63" t="s">
        <v>82</v>
      </c>
      <c r="D14" s="113">
        <v>1234567</v>
      </c>
      <c r="E14" s="64" t="s">
        <v>2</v>
      </c>
      <c r="F14" s="118"/>
      <c r="G14" s="119"/>
      <c r="H14" s="184"/>
      <c r="I14" s="63"/>
      <c r="J14" s="120"/>
      <c r="K14" s="120"/>
      <c r="L14" s="138"/>
      <c r="M14" s="65"/>
      <c r="N14" s="66" t="s">
        <v>230</v>
      </c>
      <c r="O14" s="304">
        <v>11000</v>
      </c>
    </row>
    <row r="15" spans="3:15" x14ac:dyDescent="0.25">
      <c r="C15" s="63" t="s">
        <v>82</v>
      </c>
      <c r="D15" s="113">
        <v>1234567</v>
      </c>
      <c r="E15" s="64" t="s">
        <v>1</v>
      </c>
      <c r="F15" s="118"/>
      <c r="G15" s="119"/>
      <c r="H15" s="184"/>
      <c r="I15" s="63"/>
      <c r="J15" s="120"/>
      <c r="K15" s="120"/>
      <c r="L15" s="138"/>
      <c r="M15" s="65"/>
      <c r="N15" s="66" t="s">
        <v>230</v>
      </c>
      <c r="O15" s="304">
        <v>11000</v>
      </c>
    </row>
    <row r="16" spans="3:15" x14ac:dyDescent="0.25">
      <c r="C16" s="63" t="s">
        <v>82</v>
      </c>
      <c r="D16" s="113">
        <v>1234567</v>
      </c>
      <c r="E16" s="64" t="s">
        <v>236</v>
      </c>
      <c r="F16" s="118"/>
      <c r="G16" s="119"/>
      <c r="H16" s="184"/>
      <c r="I16" s="63"/>
      <c r="J16" s="120"/>
      <c r="K16" s="120"/>
      <c r="L16" s="138"/>
      <c r="M16" s="65"/>
      <c r="N16" s="66" t="s">
        <v>230</v>
      </c>
      <c r="O16" s="304">
        <v>11000</v>
      </c>
    </row>
    <row r="17" spans="3:15" x14ac:dyDescent="0.25">
      <c r="C17" s="277" t="s">
        <v>82</v>
      </c>
      <c r="D17" s="278">
        <v>1234567</v>
      </c>
      <c r="E17" s="279" t="s">
        <v>235</v>
      </c>
      <c r="F17" s="280">
        <v>11000</v>
      </c>
      <c r="G17" s="281">
        <v>11000</v>
      </c>
      <c r="H17" s="282">
        <v>11000</v>
      </c>
      <c r="I17" s="283">
        <v>11050</v>
      </c>
      <c r="J17" s="281">
        <v>11000</v>
      </c>
      <c r="K17" s="281">
        <v>11000</v>
      </c>
      <c r="L17" s="287">
        <v>14000</v>
      </c>
      <c r="M17" s="284"/>
      <c r="N17" s="285"/>
      <c r="O17" s="286"/>
    </row>
    <row r="22" spans="3:15" x14ac:dyDescent="0.25">
      <c r="M22" s="276"/>
    </row>
    <row r="33" spans="3:15" x14ac:dyDescent="0.25">
      <c r="C33" s="64"/>
      <c r="D33" s="64"/>
      <c r="E33" s="64"/>
      <c r="F33" s="348" t="s">
        <v>67</v>
      </c>
      <c r="G33" s="349"/>
      <c r="H33" s="350"/>
      <c r="I33" s="348" t="s">
        <v>68</v>
      </c>
      <c r="J33" s="349"/>
      <c r="K33" s="349"/>
      <c r="L33" s="350"/>
      <c r="M33" s="348" t="s">
        <v>13</v>
      </c>
      <c r="N33" s="349"/>
      <c r="O33" s="350"/>
    </row>
    <row r="34" spans="3:15" x14ac:dyDescent="0.25">
      <c r="C34" s="54" t="s">
        <v>7</v>
      </c>
      <c r="D34" s="55" t="s">
        <v>16</v>
      </c>
      <c r="E34" s="55" t="s">
        <v>8</v>
      </c>
      <c r="F34" s="124" t="s">
        <v>9</v>
      </c>
      <c r="G34" s="125" t="s">
        <v>10</v>
      </c>
      <c r="H34" s="126" t="s">
        <v>11</v>
      </c>
      <c r="I34" s="54" t="s">
        <v>9</v>
      </c>
      <c r="J34" s="127" t="s">
        <v>10</v>
      </c>
      <c r="K34" s="127" t="s">
        <v>11</v>
      </c>
      <c r="L34" s="139" t="s">
        <v>12</v>
      </c>
      <c r="M34" s="56" t="s">
        <v>7</v>
      </c>
      <c r="N34" s="57" t="s">
        <v>63</v>
      </c>
      <c r="O34" s="58" t="s">
        <v>242</v>
      </c>
    </row>
    <row r="35" spans="3:15" x14ac:dyDescent="0.25">
      <c r="C35" s="59" t="s">
        <v>239</v>
      </c>
      <c r="D35" s="112">
        <v>1111111</v>
      </c>
      <c r="E35" s="60" t="s">
        <v>3</v>
      </c>
      <c r="F35" s="116">
        <v>100</v>
      </c>
      <c r="G35" s="117">
        <v>100</v>
      </c>
      <c r="H35" s="183">
        <v>100</v>
      </c>
      <c r="I35" s="59">
        <v>100</v>
      </c>
      <c r="J35" s="34">
        <v>100</v>
      </c>
      <c r="K35" s="288">
        <v>90</v>
      </c>
      <c r="L35" s="150">
        <v>100</v>
      </c>
      <c r="M35" s="61"/>
      <c r="N35" s="62" t="s">
        <v>229</v>
      </c>
      <c r="O35" s="305">
        <v>160</v>
      </c>
    </row>
    <row r="36" spans="3:15" x14ac:dyDescent="0.25">
      <c r="C36" s="63" t="s">
        <v>239</v>
      </c>
      <c r="D36" s="113">
        <v>1111111</v>
      </c>
      <c r="E36" s="64" t="s">
        <v>1</v>
      </c>
      <c r="F36" s="118">
        <v>50</v>
      </c>
      <c r="G36" s="119">
        <v>50</v>
      </c>
      <c r="H36" s="184">
        <v>50</v>
      </c>
      <c r="I36" s="63">
        <v>50</v>
      </c>
      <c r="J36" s="120">
        <v>52</v>
      </c>
      <c r="K36" s="120">
        <v>52</v>
      </c>
      <c r="L36" s="138">
        <v>53</v>
      </c>
      <c r="M36" s="65"/>
      <c r="N36" s="66"/>
      <c r="O36" s="306">
        <v>160</v>
      </c>
    </row>
    <row r="37" spans="3:15" x14ac:dyDescent="0.25">
      <c r="C37" s="63" t="s">
        <v>239</v>
      </c>
      <c r="D37" s="113">
        <v>1111111</v>
      </c>
      <c r="E37" s="64" t="s">
        <v>236</v>
      </c>
      <c r="F37" s="118">
        <v>20</v>
      </c>
      <c r="G37" s="119">
        <v>20</v>
      </c>
      <c r="H37" s="184">
        <v>20</v>
      </c>
      <c r="I37" s="63">
        <v>25</v>
      </c>
      <c r="J37" s="120">
        <v>25</v>
      </c>
      <c r="K37" s="120">
        <v>25</v>
      </c>
      <c r="L37" s="138">
        <v>25</v>
      </c>
      <c r="M37" s="65"/>
      <c r="N37" s="66"/>
      <c r="O37" s="306">
        <v>160</v>
      </c>
    </row>
  </sheetData>
  <mergeCells count="6">
    <mergeCell ref="F3:H3"/>
    <mergeCell ref="I3:L3"/>
    <mergeCell ref="M3:O3"/>
    <mergeCell ref="F33:H33"/>
    <mergeCell ref="I33:L33"/>
    <mergeCell ref="M33:O3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S16"/>
  <sheetViews>
    <sheetView workbookViewId="0">
      <selection activeCell="C6" sqref="C6:S15"/>
    </sheetView>
  </sheetViews>
  <sheetFormatPr defaultRowHeight="15" x14ac:dyDescent="0.25"/>
  <cols>
    <col min="3" max="3" width="12.28515625" bestFit="1" customWidth="1"/>
    <col min="4" max="4" width="9.7109375" bestFit="1" customWidth="1"/>
    <col min="5" max="5" width="9.28515625" bestFit="1" customWidth="1"/>
    <col min="6" max="6" width="1.42578125" style="29" customWidth="1"/>
    <col min="11" max="11" width="1.42578125" style="29" customWidth="1"/>
    <col min="16" max="16" width="1.42578125" style="29" customWidth="1"/>
  </cols>
  <sheetData>
    <row r="5" spans="3:19" x14ac:dyDescent="0.25">
      <c r="C5" s="1"/>
      <c r="D5" s="1"/>
      <c r="E5" s="1"/>
    </row>
    <row r="6" spans="3:19" x14ac:dyDescent="0.25">
      <c r="C6" s="26" t="s">
        <v>7</v>
      </c>
      <c r="D6" s="27" t="s">
        <v>16</v>
      </c>
      <c r="E6" s="28" t="s">
        <v>8</v>
      </c>
      <c r="F6" s="17"/>
      <c r="G6" s="361" t="s">
        <v>15</v>
      </c>
      <c r="H6" s="362"/>
      <c r="I6" s="362"/>
      <c r="J6" s="363"/>
      <c r="K6" s="17"/>
      <c r="L6" s="348" t="s">
        <v>14</v>
      </c>
      <c r="M6" s="349"/>
      <c r="N6" s="349"/>
      <c r="O6" s="350"/>
      <c r="P6" s="17"/>
      <c r="Q6" s="348" t="s">
        <v>13</v>
      </c>
      <c r="R6" s="349"/>
      <c r="S6" s="350"/>
    </row>
    <row r="7" spans="3:19" x14ac:dyDescent="0.25">
      <c r="C7" s="21"/>
      <c r="D7" s="15"/>
      <c r="E7" s="16"/>
      <c r="F7" s="30"/>
      <c r="G7" s="12"/>
      <c r="H7" s="13"/>
      <c r="I7" s="13"/>
      <c r="J7" s="14"/>
      <c r="K7" s="17"/>
      <c r="L7" s="11"/>
      <c r="M7" s="15"/>
      <c r="N7" s="15"/>
      <c r="O7" s="16"/>
      <c r="P7" s="17"/>
      <c r="Q7" s="21"/>
      <c r="R7" s="15"/>
      <c r="S7" s="16"/>
    </row>
    <row r="8" spans="3:19" x14ac:dyDescent="0.25">
      <c r="C8" s="22"/>
      <c r="D8" s="17"/>
      <c r="E8" s="18"/>
      <c r="F8" s="17"/>
      <c r="G8" s="3"/>
      <c r="H8" s="4"/>
      <c r="I8" s="4"/>
      <c r="J8" s="5"/>
      <c r="K8" s="17"/>
      <c r="L8" s="9"/>
      <c r="M8" s="17"/>
      <c r="N8" s="17"/>
      <c r="O8" s="18"/>
      <c r="P8" s="17"/>
      <c r="Q8" s="22">
        <v>0</v>
      </c>
      <c r="R8" s="17"/>
      <c r="S8" s="24">
        <v>-1</v>
      </c>
    </row>
    <row r="9" spans="3:19" x14ac:dyDescent="0.25">
      <c r="C9" s="22"/>
      <c r="D9" s="17"/>
      <c r="E9" s="18"/>
      <c r="F9" s="17"/>
      <c r="G9" s="3"/>
      <c r="H9" s="4"/>
      <c r="I9" s="4"/>
      <c r="J9" s="5"/>
      <c r="K9" s="17"/>
      <c r="L9" s="9"/>
      <c r="M9" s="17"/>
      <c r="N9" s="17"/>
      <c r="O9" s="18"/>
      <c r="P9" s="17"/>
      <c r="Q9" s="22"/>
      <c r="R9" s="17"/>
      <c r="S9" s="18"/>
    </row>
    <row r="10" spans="3:19" x14ac:dyDescent="0.25">
      <c r="C10" s="22"/>
      <c r="D10" s="17"/>
      <c r="E10" s="18"/>
      <c r="F10" s="17"/>
      <c r="G10" s="3"/>
      <c r="H10" s="4"/>
      <c r="I10" s="4"/>
      <c r="J10" s="5"/>
      <c r="K10" s="17"/>
      <c r="L10" s="9"/>
      <c r="M10" s="17"/>
      <c r="N10" s="17"/>
      <c r="O10" s="18"/>
      <c r="P10" s="17"/>
      <c r="Q10" s="22"/>
      <c r="R10" s="17"/>
      <c r="S10" s="18"/>
    </row>
    <row r="11" spans="3:19" x14ac:dyDescent="0.25">
      <c r="C11" s="22"/>
      <c r="D11" s="17"/>
      <c r="E11" s="18"/>
      <c r="F11" s="17"/>
      <c r="G11" s="3"/>
      <c r="H11" s="4"/>
      <c r="I11" s="4"/>
      <c r="J11" s="5"/>
      <c r="K11" s="17"/>
      <c r="L11" s="9"/>
      <c r="M11" s="17"/>
      <c r="N11" s="17"/>
      <c r="O11" s="18"/>
      <c r="P11" s="17"/>
      <c r="Q11" s="22"/>
      <c r="R11" s="17"/>
      <c r="S11" s="18"/>
    </row>
    <row r="12" spans="3:19" x14ac:dyDescent="0.25">
      <c r="C12" s="22"/>
      <c r="D12" s="17"/>
      <c r="E12" s="18"/>
      <c r="F12" s="17"/>
      <c r="G12" s="3"/>
      <c r="H12" s="4"/>
      <c r="I12" s="4"/>
      <c r="J12" s="5"/>
      <c r="K12" s="17"/>
      <c r="L12" s="9"/>
      <c r="M12" s="17"/>
      <c r="N12" s="17"/>
      <c r="O12" s="18"/>
      <c r="P12" s="17"/>
      <c r="Q12" s="22"/>
      <c r="R12" s="25">
        <v>1</v>
      </c>
      <c r="S12" s="18"/>
    </row>
    <row r="13" spans="3:19" x14ac:dyDescent="0.25">
      <c r="C13" s="22"/>
      <c r="D13" s="17"/>
      <c r="E13" s="18"/>
      <c r="F13" s="17"/>
      <c r="G13" s="3"/>
      <c r="H13" s="4"/>
      <c r="I13" s="4"/>
      <c r="J13" s="5"/>
      <c r="K13" s="17"/>
      <c r="L13" s="9"/>
      <c r="M13" s="17"/>
      <c r="N13" s="17"/>
      <c r="O13" s="18"/>
      <c r="P13" s="17"/>
      <c r="Q13" s="22"/>
      <c r="R13" s="17"/>
      <c r="S13" s="18"/>
    </row>
    <row r="14" spans="3:19" x14ac:dyDescent="0.25">
      <c r="C14" s="22"/>
      <c r="D14" s="17"/>
      <c r="E14" s="18"/>
      <c r="F14" s="17"/>
      <c r="G14" s="3"/>
      <c r="H14" s="4"/>
      <c r="I14" s="4"/>
      <c r="J14" s="5"/>
      <c r="K14" s="17"/>
      <c r="L14" s="9"/>
      <c r="M14" s="17"/>
      <c r="N14" s="17"/>
      <c r="O14" s="18"/>
      <c r="P14" s="17"/>
      <c r="Q14" s="22"/>
      <c r="R14" s="17"/>
      <c r="S14" s="18"/>
    </row>
    <row r="15" spans="3:19" x14ac:dyDescent="0.25">
      <c r="C15" s="23"/>
      <c r="D15" s="19"/>
      <c r="E15" s="20"/>
      <c r="F15" s="17"/>
      <c r="G15" s="6"/>
      <c r="H15" s="7"/>
      <c r="I15" s="7"/>
      <c r="J15" s="8"/>
      <c r="K15" s="17"/>
      <c r="L15" s="10"/>
      <c r="M15" s="19"/>
      <c r="N15" s="19"/>
      <c r="O15" s="20"/>
      <c r="P15" s="17"/>
      <c r="Q15" s="23"/>
      <c r="R15" s="19"/>
      <c r="S15" s="20"/>
    </row>
    <row r="16" spans="3:19" x14ac:dyDescent="0.25">
      <c r="F16" s="17"/>
    </row>
  </sheetData>
  <mergeCells count="3">
    <mergeCell ref="G6:J6"/>
    <mergeCell ref="L6:O6"/>
    <mergeCell ref="Q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12</vt:i4>
      </vt:variant>
    </vt:vector>
  </HeadingPairs>
  <TitlesOfParts>
    <vt:vector size="12" baseType="lpstr">
      <vt:lpstr>Probeersel</vt:lpstr>
      <vt:lpstr>ValideringBijschatting</vt:lpstr>
      <vt:lpstr>ValideringTijdreeks</vt:lpstr>
      <vt:lpstr>DiersoortBenamingenAfnemers</vt:lpstr>
      <vt:lpstr>DiersoortBenamingenBronnen</vt:lpstr>
      <vt:lpstr>IndicatorenAantallenverderlinge</vt:lpstr>
      <vt:lpstr>ValideringAantallenverdeling</vt:lpstr>
      <vt:lpstr>ValideringGemiddeldeGewichten</vt:lpstr>
      <vt:lpstr>ValideringAantallen</vt:lpstr>
      <vt:lpstr>VoorbeeldIndicatorO</vt:lpstr>
      <vt:lpstr>IndicatorenAantallen</vt:lpstr>
      <vt:lpstr>ValideringLeveringGlobaal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Bruijn, N.C. de (Nicolette)</dc:creator>
  <cp:lastModifiedBy>Bruijn, N.C. de (Nicolette)</cp:lastModifiedBy>
  <dcterms:created xsi:type="dcterms:W3CDTF">2018-03-19T11:17:53Z</dcterms:created>
  <dcterms:modified xsi:type="dcterms:W3CDTF">2018-07-05T13:42:52Z</dcterms:modified>
</cp:coreProperties>
</file>